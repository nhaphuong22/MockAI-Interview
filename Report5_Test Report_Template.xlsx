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filterPrivacy="1"/>
  <xr:revisionPtr revIDLastSave="0" documentId="13_ncr:1_{5E265CDA-7FC4-4740-A36E-36BC4FF28B7F}" xr6:coauthVersionLast="47" xr6:coauthVersionMax="47" xr10:uidLastSave="{00000000-0000-0000-0000-000000000000}"/>
  <bookViews>
    <workbookView xWindow="-120" yWindow="-120" windowWidth="29040" windowHeight="15720" activeTab="7" xr2:uid="{00000000-000D-0000-FFFF-FFFF00000000}"/>
  </bookViews>
  <sheets>
    <sheet name="Cover" sheetId="9" r:id="rId1"/>
    <sheet name="Test Cases" sheetId="2" r:id="rId2"/>
    <sheet name="Test Statistics" sheetId="5" r:id="rId3"/>
    <sheet name="Account" sheetId="8" r:id="rId4"/>
    <sheet name="Jobs" sheetId="1" r:id="rId5"/>
    <sheet name="CVReview" sheetId="3" r:id="rId6"/>
    <sheet name="AIInterview" sheetId="4" r:id="rId7"/>
    <sheet name="HRDashboard" sheetId="6" r:id="rId8"/>
    <sheet name="Admin" sheetId="7" r:id="rId9"/>
  </sheets>
  <externalReferences>
    <externalReference r:id="rId10"/>
  </externalReferences>
  <definedNames>
    <definedName name="_xlnm._FilterDatabase">'[1]Account (2)'!$A$10:$O$17</definedName>
  </definedNames>
  <calcPr calcId="181029"/>
</workbook>
</file>

<file path=xl/calcChain.xml><?xml version="1.0" encoding="utf-8"?>
<calcChain xmlns="http://schemas.openxmlformats.org/spreadsheetml/2006/main">
  <c r="B7" i="7" l="1"/>
  <c r="E8" i="7"/>
  <c r="D8" i="7"/>
  <c r="C8" i="7"/>
  <c r="B8" i="7"/>
  <c r="E7" i="7"/>
  <c r="D7" i="7"/>
  <c r="C7" i="7"/>
  <c r="E6" i="7"/>
  <c r="D6" i="7"/>
  <c r="C6" i="7"/>
  <c r="B6" i="7"/>
  <c r="B4" i="7"/>
  <c r="E8" i="6"/>
  <c r="D8" i="6"/>
  <c r="C8" i="6"/>
  <c r="B8" i="6"/>
  <c r="E7" i="6"/>
  <c r="D7" i="6"/>
  <c r="C7" i="6"/>
  <c r="B7" i="6"/>
  <c r="E6" i="6"/>
  <c r="D6" i="6"/>
  <c r="C6" i="6"/>
  <c r="B6" i="6"/>
  <c r="B4" i="6"/>
  <c r="E8" i="4"/>
  <c r="D8" i="4"/>
  <c r="C8" i="4"/>
  <c r="B8" i="4"/>
  <c r="E7" i="4"/>
  <c r="D7" i="4"/>
  <c r="C7" i="4"/>
  <c r="B7" i="4"/>
  <c r="E6" i="4"/>
  <c r="D6" i="4"/>
  <c r="C6" i="4"/>
  <c r="B6" i="4"/>
  <c r="B4" i="4"/>
  <c r="E8" i="3"/>
  <c r="D8" i="3"/>
  <c r="C8" i="3"/>
  <c r="B8" i="3"/>
  <c r="E7" i="3"/>
  <c r="D7" i="3"/>
  <c r="C7" i="3"/>
  <c r="B7" i="3"/>
  <c r="E6" i="3"/>
  <c r="D6" i="3"/>
  <c r="C6" i="3"/>
  <c r="B6" i="3"/>
  <c r="B4" i="3"/>
  <c r="E8" i="8"/>
  <c r="D8" i="8"/>
  <c r="C8" i="8"/>
  <c r="B8" i="8"/>
  <c r="E7" i="8"/>
  <c r="D7" i="8"/>
  <c r="C7" i="8"/>
  <c r="B7" i="8"/>
  <c r="E6" i="8"/>
  <c r="D6" i="8"/>
  <c r="C6" i="8"/>
  <c r="B6" i="8"/>
  <c r="B4" i="8"/>
  <c r="H17" i="5"/>
  <c r="G17" i="5"/>
  <c r="F17" i="5"/>
  <c r="E17" i="5"/>
  <c r="D17" i="5"/>
  <c r="E20" i="5" s="1"/>
  <c r="E8" i="1"/>
  <c r="D8" i="1"/>
  <c r="C8" i="1"/>
  <c r="B8" i="1"/>
  <c r="E7" i="1"/>
  <c r="D7" i="1"/>
  <c r="C7" i="1"/>
  <c r="B7" i="1"/>
  <c r="E6" i="1"/>
  <c r="D6" i="1"/>
  <c r="C6" i="1"/>
  <c r="B6" i="1"/>
  <c r="B4" i="1"/>
  <c r="E19" i="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D10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>*A</t>
        </r>
        <r>
          <rPr>
            <sz val="8"/>
            <color indexed="81"/>
            <rFont val="Tahoma"/>
            <family val="2"/>
          </rPr>
          <t xml:space="preserve">: Add
  </t>
        </r>
        <r>
          <rPr>
            <b/>
            <sz val="8"/>
            <color indexed="81"/>
            <rFont val="Tahoma"/>
            <family val="2"/>
          </rPr>
          <t>M</t>
        </r>
        <r>
          <rPr>
            <sz val="8"/>
            <color indexed="81"/>
            <rFont val="Tahoma"/>
            <family val="2"/>
          </rPr>
          <t xml:space="preserve">: Modify
  </t>
        </r>
        <r>
          <rPr>
            <b/>
            <sz val="8"/>
            <color indexed="81"/>
            <rFont val="Tahoma"/>
            <family val="2"/>
          </rPr>
          <t>D</t>
        </r>
        <r>
          <rPr>
            <sz val="8"/>
            <color indexed="81"/>
            <rFont val="Tahoma"/>
            <family val="2"/>
          </rPr>
          <t xml:space="preserve">: Delete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E10" authorId="0" shapeId="0" xr:uid="{00000000-0006-0000-0300-000001000000}">
      <text>
        <r>
          <rPr>
            <sz val="8"/>
            <color rgb="FF000000"/>
            <rFont val="Tahoma"/>
            <family val="2"/>
          </rPr>
          <t>List all test cases (must run before this case), conditions that must be done, or required state that the system should be in before performing this case</t>
        </r>
      </text>
    </comment>
  </commentList>
</comments>
</file>

<file path=xl/sharedStrings.xml><?xml version="1.0" encoding="utf-8"?>
<sst xmlns="http://schemas.openxmlformats.org/spreadsheetml/2006/main" count="1152" uniqueCount="503">
  <si>
    <t>TEST REPORT DOCUMENT</t>
  </si>
  <si>
    <t>Project Name</t>
  </si>
  <si>
    <t>MockAI-Interview</t>
  </si>
  <si>
    <t>Creator</t>
  </si>
  <si>
    <t>Le Nha Phuong</t>
  </si>
  <si>
    <t>Project Code</t>
  </si>
  <si>
    <t>MAI</t>
  </si>
  <si>
    <t>Issue Date</t>
  </si>
  <si>
    <t>Document Code</t>
  </si>
  <si>
    <t>MAI_TR_v1.2</t>
  </si>
  <si>
    <t>Version</t>
  </si>
  <si>
    <t>Record of change</t>
  </si>
  <si>
    <t>Effective Date</t>
  </si>
  <si>
    <t>Change Item</t>
  </si>
  <si>
    <t>*A,D,M</t>
  </si>
  <si>
    <t>Change description</t>
  </si>
  <si>
    <t>Reference</t>
  </si>
  <si>
    <t>1.0.0</t>
  </si>
  <si>
    <t>Project Initialization</t>
  </si>
  <si>
    <t>A</t>
  </si>
  <si>
    <t>Setup project skeleton, basic database migrations, and core functionalities (Sign-in, sign-up, job searching).</t>
  </si>
  <si>
    <t>None</t>
  </si>
  <si>
    <t>1.1.0</t>
  </si>
  <si>
    <t>Job &amp; Company Optimization</t>
  </si>
  <si>
    <t>M</t>
  </si>
  <si>
    <t>Add tax code to companies, resolve logo rendering issue in JobCard/JobDetail, and implement cache invalidation for jobs.</t>
  </si>
  <si>
    <t>1.2.0</t>
  </si>
  <si>
    <t>Social &amp; Community Features</t>
  </si>
  <si>
    <t>Launch Blog/Community module, integrate Like &amp; Reaction APIs for posts.</t>
  </si>
  <si>
    <t>1.3.0</t>
  </si>
  <si>
    <t>AI Chatbot &amp; Profile Redesign</t>
  </si>
  <si>
    <t>Integrate AI Chatbot for recruitment advice, fix chatbot authentication bypass vulnerability, and redesign profile settings layout.</t>
  </si>
  <si>
    <t>1.3.1</t>
  </si>
  <si>
    <t>Daily Candidate Questions</t>
  </si>
  <si>
    <t>Add Daily Question for candidates and implement monthly rankings.</t>
  </si>
  <si>
    <t>1.4.0</t>
  </si>
  <si>
    <t>AI Voice Interview Upgrade</t>
  </si>
  <si>
    <t>Deploy AI Voice Interview room, integrate real-time voice recording, audio streaming, and speech-to-text.</t>
  </si>
  <si>
    <t>1.5.0</t>
  </si>
  <si>
    <t>Database Normalization</t>
  </si>
  <si>
    <t>Execute comprehensive database normalization, separate users table, fix wallet allocation APIs, and establish credit batches.</t>
  </si>
  <si>
    <t>1.6.0</t>
  </si>
  <si>
    <t>Service Packages &amp; Hiring</t>
  </si>
  <si>
    <t xml:space="preserve"> Integrate Unified Credit System for HR packages, finalize HR candidate hiring flow.</t>
  </si>
  <si>
    <t>1.7.0</t>
  </si>
  <si>
    <t>Project-wide Refactoring</t>
  </si>
  <si>
    <t xml:space="preserve"> Refactor frontend &amp; backend codebase, standardize folder structure, clean up codebase, and perform system testing.</t>
  </si>
  <si>
    <t>TEST CASE LIST</t>
  </si>
  <si>
    <t>Test Environment Setup Description</t>
  </si>
  <si>
    <t>1. Server: Node.js v18+, Express v5.2.1, Socket.io v4.8.3
2. Database: PostgreSQL, Knex.js v3.2.10
3. Web Browser: Google Chrome (Recommended), Microsoft Edge, Mozilla Firefox (WebRTC &amp; Microphone API support required)
4. Hardware Requirements: Stable internet connection, active audio input device (Microphone) for voice interviews
5. Cloud Services: Cloudinary (for CV and Avatar image storage)</t>
  </si>
  <si>
    <t>No</t>
  </si>
  <si>
    <t>Function Name</t>
  </si>
  <si>
    <t>Sheet Name</t>
  </si>
  <si>
    <t>Description</t>
  </si>
  <si>
    <t>Pre-Condition</t>
  </si>
  <si>
    <t>User Authentication &amp; Authorization</t>
  </si>
  <si>
    <t>Account</t>
  </si>
  <si>
    <t xml:space="preserve"> Tests Sign-Up, Sign-In, Sign-Out, Reset Password, Email Verification, and the Auth Gate filter.</t>
  </si>
  <si>
    <t>Normal browser connection, active mail server.</t>
  </si>
  <si>
    <t>Job Searching &amp; Applying</t>
  </si>
  <si>
    <t>Jobs</t>
  </si>
  <si>
    <t>Tests job searching, filtering, job details view, saved jobs, and CV application submission.</t>
  </si>
  <si>
    <t>Logged in as Candidate, valid CV PDF prepared.</t>
  </si>
  <si>
    <t>ATS Scoring &amp; CV Analysis</t>
  </si>
  <si>
    <t>CVReview</t>
  </si>
  <si>
    <t>Tests CV PDF upload, skill extraction, ATS scoring, and feedback generation using AI.</t>
  </si>
  <si>
    <t>Logged in as Candidate, valid PDF file format.</t>
  </si>
  <si>
    <t>AI Mock Interview Practice</t>
  </si>
  <si>
    <t>AIInterview</t>
  </si>
  <si>
    <t>Tests the real-time AI voice/chat interview room, question generation, and evaluation report (Radar Chart).</t>
  </si>
  <si>
    <t>Logged in as Candidate, microphone permissions granted.</t>
  </si>
  <si>
    <t xml:space="preserve"> Recruitment Management (HR)</t>
  </si>
  <si>
    <t>HRDashboard</t>
  </si>
  <si>
    <t>Tests job posting, updating, deleting, candidate tracking, shortlist board drag-and-drop, and AI report evaluation.</t>
  </si>
  <si>
    <t>Logged in as HR, account approved by Admin.</t>
  </si>
  <si>
    <t>System Administration</t>
  </si>
  <si>
    <t>Admin</t>
  </si>
  <si>
    <t>Tests user management, company approval, AI system parameters tuning, and payment tracking.</t>
  </si>
  <si>
    <t>Logged in as Administrator.</t>
  </si>
  <si>
    <t>TEST STATISTICS</t>
  </si>
  <si>
    <t>Reviewer/Approver</t>
  </si>
  <si>
    <t>MAI_TR_v1.7.0</t>
  </si>
  <si>
    <t>Notes</t>
  </si>
  <si>
    <t>Test run for Release v1.7.0 (Includes unified HR packages, AI voice interview room, and database normalization adjustments).</t>
  </si>
  <si>
    <t>Module code</t>
  </si>
  <si>
    <t>Passed</t>
  </si>
  <si>
    <t>Failed</t>
  </si>
  <si>
    <t>Pending</t>
  </si>
  <si>
    <t>N/A</t>
  </si>
  <si>
    <t>Number of  test cases</t>
  </si>
  <si>
    <t>Account (Auth &amp; Auth Gate)</t>
  </si>
  <si>
    <t>Jobs (Search &amp; Apply)</t>
  </si>
  <si>
    <t>CVReview (AI CV Review)</t>
  </si>
  <si>
    <t>AIInterview (Mock Voice Practice)</t>
  </si>
  <si>
    <t>HRDashboard (Recruitment Flow)</t>
  </si>
  <si>
    <t xml:space="preserve"> Admin (System Control)</t>
  </si>
  <si>
    <t>Sub total</t>
  </si>
  <si>
    <t>Test coverage</t>
  </si>
  <si>
    <t>%</t>
  </si>
  <si>
    <t>Test successful coverage</t>
  </si>
  <si>
    <t>Feature</t>
  </si>
  <si>
    <t>Test requirement</t>
  </si>
  <si>
    <t>Testing web MockAI-Interview authentication features including login, registration, password recovery, and Auth Gate filters.</t>
  </si>
  <si>
    <t>Number of TCs</t>
  </si>
  <si>
    <t>Testing Round</t>
  </si>
  <si>
    <t>Round 1</t>
  </si>
  <si>
    <t>Round 2</t>
  </si>
  <si>
    <t>Round 3</t>
  </si>
  <si>
    <t>Test Case ID</t>
  </si>
  <si>
    <t>Test Case Description</t>
  </si>
  <si>
    <t>Test Case Procedure</t>
  </si>
  <si>
    <t>Expected Results</t>
  </si>
  <si>
    <t>Pre-conditions</t>
  </si>
  <si>
    <t>Test date</t>
  </si>
  <si>
    <t>Tester</t>
  </si>
  <si>
    <t>Note</t>
  </si>
  <si>
    <t>ACC_001</t>
  </si>
  <si>
    <t>Register a new Candidate account with valid credentials.</t>
  </si>
  <si>
    <t>1. Open Sign-Up page.
2. Fill in Email: candidate@test.com, Password: P@ssword123.
3. Click "Sign Up".</t>
  </si>
  <si>
    <t>Account created successfully. Activation email is sent, and user is added to DB.</t>
  </si>
  <si>
    <t>Guest user, browser connected.</t>
  </si>
  <si>
    <t/>
  </si>
  <si>
    <t>ACC_002</t>
  </si>
  <si>
    <t>Register using an email address that is already registered.</t>
  </si>
  <si>
    <t>1. Fill in Email: candidate@test.com (existing), Password: P@ssword123.
2. Click "Sign Up".</t>
  </si>
  <si>
    <t>Error message displayed: "Email already registered". Account registration fails.</t>
  </si>
  <si>
    <t>Guest user, email already exists.</t>
  </si>
  <si>
    <t>ACC_003</t>
  </si>
  <si>
    <t>Register with a password that is too weak (less than 8 characters).</t>
  </si>
  <si>
    <t>1. Fill in Email: candidate2@test.com, Password: weak.
2. Click "Sign Up".</t>
  </si>
  <si>
    <t>Validation error displayed: "Password must be at least 8 characters".</t>
  </si>
  <si>
    <t>Guest user, at Sign-Up page.</t>
  </si>
  <si>
    <t>ACC_004</t>
  </si>
  <si>
    <t>Register with missing required fields (e.g. empty email).</t>
  </si>
  <si>
    <t>1. Leave Email field empty.
2. Fill in Password: P@ssword123.
3. Click "Sign Up".</t>
  </si>
  <si>
    <t>Validation error: "Email is required". Registration blocked.</t>
  </si>
  <si>
    <t>ACC_005</t>
  </si>
  <si>
    <t>Sign in with valid Candidate credentials.</t>
  </si>
  <si>
    <t>1. Enter registered Email &amp; Password.
2. Click "Sign In".</t>
  </si>
  <si>
    <t>Successful login. JWT token saved in localStorage. Redirected to Candidate home.</t>
  </si>
  <si>
    <t>Registered Candidate account.</t>
  </si>
  <si>
    <t>ACC_006</t>
  </si>
  <si>
    <t>Sign in with valid HR Recruiter credentials.</t>
  </si>
  <si>
    <t>1. Enter HR Recruiter Email &amp; Password.
2. Click "Sign In".</t>
  </si>
  <si>
    <t>Successful login. JWT token saved. Redirected to HR Dashboard page.</t>
  </si>
  <si>
    <t>Registered and approved HR account.</t>
  </si>
  <si>
    <t>ACC_007</t>
  </si>
  <si>
    <t>Sign in with valid Administrator credentials.</t>
  </si>
  <si>
    <t>1. Enter Administrator Email &amp; Password.
2. Click "Sign In".</t>
  </si>
  <si>
    <t>Successful login. Redirected to Administrator Dashboard page.</t>
  </si>
  <si>
    <t>Registered Administrator account.</t>
  </si>
  <si>
    <t>ACC_008</t>
  </si>
  <si>
    <t>Sign in with an incorrect password.</t>
  </si>
  <si>
    <t>1. Enter valid Email but incorrect Password.
2. Click "Sign In".</t>
  </si>
  <si>
    <t>Error displayed: "Incorrect username or password". Token not generated.</t>
  </si>
  <si>
    <t>ACC_009</t>
  </si>
  <si>
    <t>Sign in with a non-existent email address.</t>
  </si>
  <si>
    <t>1. Enter unregistered Email, valid Password format.
2. Click "Sign In".</t>
  </si>
  <si>
    <t>Error displayed: "Incorrect username or password".</t>
  </si>
  <si>
    <t>Email not registered in DB.</t>
  </si>
  <si>
    <t>ACC_010</t>
  </si>
  <si>
    <t>Request password reset via email forgot link.</t>
  </si>
  <si>
    <t>1. Click "Forgot Password".
2. Submit email.
3. Verify reset token email is received.</t>
  </si>
  <si>
    <t>System sends password reset link email with a valid token.</t>
  </si>
  <si>
    <t>Registered user email.</t>
  </si>
  <si>
    <t>ACC_011</t>
  </si>
  <si>
    <t>Reset password using an expired reset token link.</t>
  </si>
  <si>
    <t>1. Access expired password reset URL.
2. Input new password.
3. Click Reset.</t>
  </si>
  <si>
    <t>System displays error: "Token expired or invalid". Password remains unchanged.</t>
  </si>
  <si>
    <t>User has expired token link.</t>
  </si>
  <si>
    <t>ACC_012</t>
  </si>
  <si>
    <t>Auth Gate: Block unauthenticated users from private pages.</t>
  </si>
  <si>
    <t>1. Clear localStorage token (Sign out).
2. Try clicking "CV Review" or "Profile" tabs.
3. Direct URL access to /profile.</t>
  </si>
  <si>
    <t>1. Navigation blocked.
2. Toast warns: "Login required to use this feature".
3. Auth Modal does not auto-open.</t>
  </si>
  <si>
    <t>Guest user (unauthenticated).</t>
  </si>
  <si>
    <t>ACC_013</t>
  </si>
  <si>
    <t>Role Gate: Block Candidate from accessing Admin dashboard page.</t>
  </si>
  <si>
    <t>1. Log in as Candidate.
2. Enter /admin/dashboard directly in browser address bar.</t>
  </si>
  <si>
    <t>Access blocked. Channeled to 403 Forbidden page or redirected to Candidate home.</t>
  </si>
  <si>
    <t>Logged in as Candidate.</t>
  </si>
  <si>
    <t>Testing job search, keyword searching, location and salary filtering, job description rendering, saved jobs bookmarks, and PDF CV application submission workflows.</t>
  </si>
  <si>
    <t>JOB_001</t>
  </si>
  <si>
    <t>View the list of active job posts on the Jobs page.</t>
  </si>
  <si>
    <t>1. Navigate to /jobs page.</t>
  </si>
  <si>
    <t>Displays all active job posts with titles, company names, and tags.</t>
  </si>
  <si>
    <t>Browser connected, backend running.</t>
  </si>
  <si>
    <t>JOB_002</t>
  </si>
  <si>
    <t>Search jobs using keyword search input.</t>
  </si>
  <si>
    <t>1. Type "React" in search box.
2. Press Enter or click Search.</t>
  </si>
  <si>
    <t>Filters list to only display job posts containing "React" in title/description.</t>
  </si>
  <si>
    <t>At /jobs page, active listings.</t>
  </si>
  <si>
    <t>JOB_003</t>
  </si>
  <si>
    <t>Filter job listings by Location selection.</t>
  </si>
  <si>
    <t>1. Click Location dropdown.
2. Select "Hanoi".</t>
  </si>
  <si>
    <t>List displays only job posts located in Hanoi.</t>
  </si>
  <si>
    <t>JOB_004</t>
  </si>
  <si>
    <t>Filter job listings by Salary range slider.</t>
  </si>
  <si>
    <t>1. Adjust salary filter slider to $1500 - $3000.</t>
  </si>
  <si>
    <t>List displays only job posts with salary range within the selected range.</t>
  </si>
  <si>
    <t>At /jobs page.</t>
  </si>
  <si>
    <t>JOB_005</t>
  </si>
  <si>
    <t>View detailed information of a selected job post.</t>
  </si>
  <si>
    <t>1. Click on a job post card.</t>
  </si>
  <si>
    <t>Redirects to /jobs/:id. Shows full Job Description (JD), requirements, and Apply button.</t>
  </si>
  <si>
    <t>JOB_006</t>
  </si>
  <si>
    <t>Save a job listing to Saved Jobs list.</t>
  </si>
  <si>
    <t>1. Click "Save Job" bookmark icon on job card.</t>
  </si>
  <si>
    <t>Icon state changes to active. Job added to candidate's saved list.</t>
  </si>
  <si>
    <t>JOB_007</t>
  </si>
  <si>
    <t>Verify duplicate saved job prevention.</t>
  </si>
  <si>
    <t>1. Click bookmark icon on an already saved job card.</t>
  </si>
  <si>
    <t>Bookmark is unsaved. Job removed from candidate's saved list.</t>
  </si>
  <si>
    <t>Logged in, job already saved.</t>
  </si>
  <si>
    <t>JOB_008</t>
  </si>
  <si>
    <t>Apply to a job with a valid PDF CV.</t>
  </si>
  <si>
    <t>1. Click "Apply Now" button.
2. Choose uploaded PDF CV.
3. Click Submit Application.</t>
  </si>
  <si>
    <t>Application saved. Status set to "Applied". Notification sent to HR.</t>
  </si>
  <si>
    <t>Logged in, valid CV uploaded.</t>
  </si>
  <si>
    <t>JOB_009</t>
  </si>
  <si>
    <t>Attempt to apply to a job without attaching a CV.</t>
  </si>
  <si>
    <t>1. Click "Apply Now".
2. Select no file.
3. Click Submit.</t>
  </si>
  <si>
    <t>UI blocks submission. Error: "Please select a CV to apply".</t>
  </si>
  <si>
    <t>JOB_010</t>
  </si>
  <si>
    <t>Track applied jobs status in Application Tracking tab.</t>
  </si>
  <si>
    <t>1. Navigate to /applications page.</t>
  </si>
  <si>
    <t>Shows list of applied jobs, date of application, and status (Applied/Reviewed/Shortlisted).</t>
  </si>
  <si>
    <t>Logged in, has applications.</t>
  </si>
  <si>
    <t>JOB_011</t>
  </si>
  <si>
    <t>View the list of saved jobs in Saved Jobs tab.</t>
  </si>
  <si>
    <t>1. Navigate to /saved-jobs page.</t>
  </si>
  <si>
    <t>Displays all jobs previously bookmarked by the user.</t>
  </si>
  <si>
    <t>Logged in, has saved jobs.</t>
  </si>
  <si>
    <t>JOB_012</t>
  </si>
  <si>
    <t>Share job link to clipboard.</t>
  </si>
  <si>
    <t>1. Click "Share" icon in job detail.
2. Check clipboard.</t>
  </si>
  <si>
    <t>Toast notification: "Job link copied to clipboard!". Link is in clipboard.</t>
  </si>
  <si>
    <t>At job detail page.</t>
  </si>
  <si>
    <t>Testing Candidate CV PDF uploading to Cloudinary, file limit size validations, AI skills parsing, ATS scoring, and feedback generation.</t>
  </si>
  <si>
    <t>CVR_001</t>
  </si>
  <si>
    <t>Upload a valid PDF format CV.</t>
  </si>
  <si>
    <t>1. Navigate to /cv-review.
2. Choose or drop a valid PDF CV.
3. Click Analyze CV.</t>
  </si>
  <si>
    <t>CV uploaded to Cloudinary. AI analysis process begins with a progress spinner.</t>
  </si>
  <si>
    <t>Logged in as Candidate, PDF file available.</t>
  </si>
  <si>
    <t>CVR_002</t>
  </si>
  <si>
    <t>Upload a PDF file exceeding size limit (e.g. &gt;10MB).</t>
  </si>
  <si>
    <t>1. Try uploading a 12MB PDF file.</t>
  </si>
  <si>
    <t>System displays error: "File size exceeds the 10MB limit". Upload rejected.</t>
  </si>
  <si>
    <t>Logged in, large PDF file selected.</t>
  </si>
  <si>
    <t>CVR_003</t>
  </si>
  <si>
    <t>Upload an unsupported file type extension (e.g. PNG).</t>
  </si>
  <si>
    <t>1. Try dropping a PNG image file into upload area.</t>
  </si>
  <si>
    <t>Client-side validation rejects file. Error shown: "Only PDF format is supported".</t>
  </si>
  <si>
    <t>Logged in, image file selected.</t>
  </si>
  <si>
    <t>CVR_004</t>
  </si>
  <si>
    <t>Verify AI extracts candidate skills list accurately from CV text.</t>
  </si>
  <si>
    <t>1. Wait for AI parsing to complete.</t>
  </si>
  <si>
    <t>Displays list of identified skills matching the CV text content.</t>
  </si>
  <si>
    <t>Successful PDF CV upload (CVR_001).</t>
  </si>
  <si>
    <t>CVR_005</t>
  </si>
  <si>
    <t>Verify AI extracts candidate education &amp; experience details.</t>
  </si>
  <si>
    <t>1. Wait for AI parsing.</t>
  </si>
  <si>
    <t>Extracts school name, degree, company name, roles, and dates successfully.</t>
  </si>
  <si>
    <t>Successful PDF CV upload.</t>
  </si>
  <si>
    <t>CVR_006</t>
  </si>
  <si>
    <t>Verify AI generates ATS rating score based on job keywords.</t>
  </si>
  <si>
    <t>Displays a numeric score (0-100) representing candidate ATS compatibility.</t>
  </si>
  <si>
    <t>CVR_007</t>
  </si>
  <si>
    <t>Verify AI generates detailed advice, strengths and weaknesses.</t>
  </si>
  <si>
    <t>Renders lists of strengths, weaknesses, and clear bullet-point improvement tips.</t>
  </si>
  <si>
    <t>CVR_008</t>
  </si>
  <si>
    <t>Re-upload a new CV PDF to update analysis results.</t>
  </si>
  <si>
    <t>1. Click "Upload New CV" button.
2. Upload updated CV PDF.</t>
  </si>
  <si>
    <t>Old data is cleared. New AI analysis is performed and displays updated scores.</t>
  </si>
  <si>
    <t>Previous CV analyzed.</t>
  </si>
  <si>
    <t>CVR_009</t>
  </si>
  <si>
    <t>Download the analyzed CV feedback report as PDF.</t>
  </si>
  <si>
    <t>1. Click "Download Report" button.</t>
  </si>
  <si>
    <t>Generates and downloads a formatted PDF report locally containing scores &amp; tips.</t>
  </si>
  <si>
    <t>Analysis completed.</t>
  </si>
  <si>
    <t>Testing real-time AI mock interview prep room, virtual avatar renderer (3D/2D), Text-to-Speech question audio playbacks, Speech-to-Text mic recording transcriber, and final evaluation Radar Chart.</t>
  </si>
  <si>
    <t>INT_001</t>
  </si>
  <si>
    <t>Setup mock interview session selecting CV and Target JD.</t>
  </si>
  <si>
    <t>1. Go to /interview-practice.
2. Choose CV and select Job Description ID: 15.
3. Click Enter Interview Prep.</t>
  </si>
  <si>
    <t>Redirects to Prep page. Prompts user to check camera/microphone setups.</t>
  </si>
  <si>
    <t>Logged in, has CV, target JD selected.</t>
  </si>
  <si>
    <t>INT_002</t>
  </si>
  <si>
    <t>Enter AI Mock Interview Room successfully.</t>
  </si>
  <si>
    <t>1. Click "Start Interview" on Prep page.</t>
  </si>
  <si>
    <t>Loads 3D/2D Interview room UI. Starts real-time Socket.io audio connection.</t>
  </si>
  <si>
    <t>Passed prep verification.</t>
  </si>
  <si>
    <t>INT_003</t>
  </si>
  <si>
    <t>Verify AI avatar virtual character displays and animates.</t>
  </si>
  <si>
    <t>1. Watch screen on interview start.</t>
  </si>
  <si>
    <t>AI interviewer avatar renders successfully (Three.js/R3F model) and performs default idle animations.</t>
  </si>
  <si>
    <t>Entered interview room.</t>
  </si>
  <si>
    <t>INT_004</t>
  </si>
  <si>
    <t>Verify AI voice playback of interview questions.</t>
  </si>
  <si>
    <t>1. Wait for AI to ask first question.</t>
  </si>
  <si>
    <t>AI avatar mouths open, speaking audio question clearly (Text-to-Speech active).</t>
  </si>
  <si>
    <t>INT_005</t>
  </si>
  <si>
    <t>Submit answer via microphone voice recording.</t>
  </si>
  <si>
    <t>1. Hold/Click Mic button.
2. Speak: "I have 3 years of React experience."
3. Release button.</t>
  </si>
  <si>
    <t>Voice input recorded. UI displays real-time transcription. Answer sent.</t>
  </si>
  <si>
    <t>Microphone enabled.</t>
  </si>
  <si>
    <t>INT_006</t>
  </si>
  <si>
    <t>Verify microphone volume level visual feedback bar.</t>
  </si>
  <si>
    <t>1. Speak into microphone.</t>
  </si>
  <si>
    <t>UI audio progress bar waves dynamically according to user voice loudness.</t>
  </si>
  <si>
    <t>Microphone recording active.</t>
  </si>
  <si>
    <t>INT_007</t>
  </si>
  <si>
    <t>Handle microphone access permission denied error.</t>
  </si>
  <si>
    <t>1. Block microphone permission in browser settings.
2. Open room.</t>
  </si>
  <si>
    <t>Toast error: "Microphone access denied". Disables mic button, activates text input fallback.</t>
  </si>
  <si>
    <t>Mic permission blocked.</t>
  </si>
  <si>
    <t>INT_008</t>
  </si>
  <si>
    <t>Submit answer via text input box fallback.</t>
  </si>
  <si>
    <t>1. Type answer in text input area.
2. Click Send button.</t>
  </si>
  <si>
    <t>Text response saved. AI processes and advances to next question.</t>
  </si>
  <si>
    <t>Text input active.</t>
  </si>
  <si>
    <t>INT_009</t>
  </si>
  <si>
    <t>Skip the current interview question.</t>
  </si>
  <si>
    <t>1. Click "Skip Question" button.</t>
  </si>
  <si>
    <t>AI marks current question as skipped. Asks next question.</t>
  </si>
  <si>
    <t>In interview room.</t>
  </si>
  <si>
    <t>INT_010</t>
  </si>
  <si>
    <t>End the interview session early before answering all questions.</t>
  </si>
  <si>
    <t>1. Click "End Session" button.
2. Confirm popup.</t>
  </si>
  <si>
    <t>Session closed. Redirects user to result page. Analyzes only answered questions.</t>
  </si>
  <si>
    <t>INT_011</t>
  </si>
  <si>
    <t>Verify system auto-reconnects on socket connection drops.</t>
  </si>
  <si>
    <t>1. Simulate sudden network disconnect for 5s.</t>
  </si>
  <si>
    <t>UI shows "Reconnecting...". Restores session state automatically once reconnected.</t>
  </si>
  <si>
    <t>During active session.</t>
  </si>
  <si>
    <t>INT_012</t>
  </si>
  <si>
    <t>Verify AI question response time latency is within 3s.</t>
  </si>
  <si>
    <t>1. Submit answer.
2. Measure time before next question starts.</t>
  </si>
  <si>
    <t>Next question generated and speaks within 3 seconds.</t>
  </si>
  <si>
    <t>INT_013</t>
  </si>
  <si>
    <t>View final overall score in mock evaluation report.</t>
  </si>
  <si>
    <t>1. Complete final question.
2. Redirects to /hr-interview/result/:id.</t>
  </si>
  <si>
    <t>Renders overall performance score (e.g. 78/100) and general review text.</t>
  </si>
  <si>
    <t>Finished all questions.</t>
  </si>
  <si>
    <t>INT_014</t>
  </si>
  <si>
    <t>Verify Radar Chart display for skill dimensions.</t>
  </si>
  <si>
    <t>1. View result page.</t>
  </si>
  <si>
    <t>Renders Radar Chart displaying scores for Communication, Technical, speed, Grammar.</t>
  </si>
  <si>
    <t>Finished session.</t>
  </si>
  <si>
    <t>INT_015</t>
  </si>
  <si>
    <t>View detailed question-by-question AI evaluation list.</t>
  </si>
  <si>
    <t>1. Scroll down result page.</t>
  </si>
  <si>
    <t>Displays list of asked questions, user transcripts, AI suggested correct answer and tips.</t>
  </si>
  <si>
    <t>INT_016</t>
  </si>
  <si>
    <t>Retry a new mock interview session.</t>
  </si>
  <si>
    <t>1. Click "Retry Practice" button.</t>
  </si>
  <si>
    <t>Clears current session. Redirects to setup page to configure new interview.</t>
  </si>
  <si>
    <t>Viewing result page.</t>
  </si>
  <si>
    <t>INT_017</t>
  </si>
  <si>
    <t>Listen to original user voice recordings in history page.</t>
  </si>
  <si>
    <t>1. Go to Profile -&gt; Interview History.
2. Click Play Audio on a question.</t>
  </si>
  <si>
    <t>Streams and plays back the user's audio recording uploaded to Cloudinary.</t>
  </si>
  <si>
    <t>Logged in Candidate, has history.</t>
  </si>
  <si>
    <t>INT_018</t>
  </si>
  <si>
    <t>Verify text transcript matches the recorded voice response.</t>
  </si>
  <si>
    <t>1. Play audio and read text transcript side-by-side.</t>
  </si>
  <si>
    <t>Audio matches text transcription with high accuracy (&gt;90%).</t>
  </si>
  <si>
    <t>INT_019</t>
  </si>
  <si>
    <t>Verify interview history log lists all past sessions.</t>
  </si>
  <si>
    <t>1. Navigate to Profile.
2. Open Interview History.</t>
  </si>
  <si>
    <t>Lists all completed sessions with job title, date, and overall score.</t>
  </si>
  <si>
    <t>Logged in Candidate.</t>
  </si>
  <si>
    <t>INT_020</t>
  </si>
  <si>
    <t>Adjust AI avatar voice speed &amp; pitch configurations.</t>
  </si>
  <si>
    <t>1. Open interview settings.
2. Modify speed to 1.2x.
3. Click Test Voice.</t>
  </si>
  <si>
    <t>AI voice speaks faster matching the 1.2x configuration.</t>
  </si>
  <si>
    <t>In room prep page.</t>
  </si>
  <si>
    <t>Testing Recruiter dashboard panels, job postings/edits, applicant pipeline drag-and-drop tracking, credit purchases wallet system, and candidate evaluation reports.</t>
  </si>
  <si>
    <t>HRD_001</t>
  </si>
  <si>
    <t>View overview statistics on HR Dashboard homepage.</t>
  </si>
  <si>
    <t>1. Log in as HR Recruiter.
2. View /hr/dashboard.</t>
  </si>
  <si>
    <t>Displays count cards: Active Jobs, Total Applicants, Shortlisted, Credits left.</t>
  </si>
  <si>
    <t>HR account approved.</t>
  </si>
  <si>
    <t>HRD_002</t>
  </si>
  <si>
    <t>Create and publish a new job post listing.</t>
  </si>
  <si>
    <t>1. Navigate to /hr/dashboard/post-job.
2. Enter title, location, salary, requirements.
3. Click Publish.</t>
  </si>
  <si>
    <t>Job listing saved in DB. Displayed on candidate jobs search page.</t>
  </si>
  <si>
    <t>HRD_003</t>
  </si>
  <si>
    <t>Attempt to publish a job listing with missing required fields.</t>
  </si>
  <si>
    <t>1. Open Post Job.
2. Leave Title empty.
3. Click Publish.</t>
  </si>
  <si>
    <t>Form blocks publish. Validation error: "Job Title is required".</t>
  </si>
  <si>
    <t>HR account logged.</t>
  </si>
  <si>
    <t>HRD_004</t>
  </si>
  <si>
    <t>Edit detailed information of an existing job post.</t>
  </si>
  <si>
    <t>1. Go to Manage Jobs.
2. Click Edit on a job listing.
3. Modify description.
4. Click Save.</t>
  </si>
  <si>
    <t>Updates saved in DB. Cache invalidated, updated JD shown to candidates.</t>
  </si>
  <si>
    <t>Job listing exists.</t>
  </si>
  <si>
    <t>HRD_005</t>
  </si>
  <si>
    <t>Delete or archive an existing job listing.</t>
  </si>
  <si>
    <t>1. Go to Manage Jobs.
2. Click Delete/Archive.
3. Confirm dialog.</t>
  </si>
  <si>
    <t>Job post marked inactive. Removed from candidate active search results.</t>
  </si>
  <si>
    <t>HRD_006</t>
  </si>
  <si>
    <t>View the list of applicants for a job post.</t>
  </si>
  <si>
    <t>1. Go to Manage Applications.
2. Select job listing.</t>
  </si>
  <si>
    <t>Displays list of candidate names, date applied, CV link, and current stage.</t>
  </si>
  <si>
    <t>Job has active applicants.</t>
  </si>
  <si>
    <t>HRD_007</t>
  </si>
  <si>
    <t>Move candidate pipeline stage via drag-and-drop to Shortlisted.</t>
  </si>
  <si>
    <t>1. Go to Application Board (Shortlist).
2. Drag candidate card to "Shortlisted" column.</t>
  </si>
  <si>
    <t>Card drops successfully. DB updates stage. Real-time candidate notification triggered.</t>
  </si>
  <si>
    <t>Applicants present in Board.</t>
  </si>
  <si>
    <t>HRD_008</t>
  </si>
  <si>
    <t>Move candidate pipeline stage via drag-and-drop to Rejected.</t>
  </si>
  <si>
    <t>1. Go to Application Board.
2. Drag candidate card to "Rejected" column.</t>
  </si>
  <si>
    <t>Card stage changes to Rejected. Candidate application tracking shows Rejected.</t>
  </si>
  <si>
    <t>Applicants present.</t>
  </si>
  <si>
    <t>HRD_009</t>
  </si>
  <si>
    <t>Move candidate pipeline stage via drag-and-drop to Hired.</t>
  </si>
  <si>
    <t>1. Go to Application Board.
2. Drag candidate card to "Hired" column.</t>
  </si>
  <si>
    <t>Card stage updates. Triggers email service to send hiring congratulations.</t>
  </si>
  <si>
    <t>HRD_010</t>
  </si>
  <si>
    <t>View Candidate profile details and original CV PDF.</t>
  </si>
  <si>
    <t>1. Click on a candidate card.
2. Click View Profile.</t>
  </si>
  <si>
    <t>Modal displays candidate contact details, skills, and opens CV PDF in viewer.</t>
  </si>
  <si>
    <t>Active applicant selected.</t>
  </si>
  <si>
    <t>HRD_011</t>
  </si>
  <si>
    <t>View Candidate AI Interview performance evaluation details.</t>
  </si>
  <si>
    <t>1. Click candidate card.
2. Open AI Mock Interview Report tab.</t>
  </si>
  <si>
    <t>Renders candidate's evaluation Radar Chart, overall score, text transcribing, and plays voice audio.</t>
  </si>
  <si>
    <t>Applicant completed AI test.</t>
  </si>
  <si>
    <t>HRD_012</t>
  </si>
  <si>
    <t>Send hiring notification email manually to Candidate.</t>
  </si>
  <si>
    <t>1. Open Candidate detail modal.
2. Click Send Email.
3. Input text, click Send.</t>
  </si>
  <si>
    <t>Email successfully dispatched to candidate's inbox via Nodemailer.</t>
  </si>
  <si>
    <t>Candidate details loaded.</t>
  </si>
  <si>
    <t>HRD_013</t>
  </si>
  <si>
    <t>Purchase service packages to gain unified credits.</t>
  </si>
  <si>
    <t>1. Navigate to /payment page.
2. Choose package "Standard HR" (50 credits).
3. Click Checkout.</t>
  </si>
  <si>
    <t>Redirects to Payment Gateway. Processes payment. Credits added to HR wallet.</t>
  </si>
  <si>
    <t>HR recruiter logged in.</t>
  </si>
  <si>
    <t>HRD_014</t>
  </si>
  <si>
    <t>Track credit purchase transactions history list.</t>
  </si>
  <si>
    <t>1. Go to Settings -&gt; Payments.</t>
  </si>
  <si>
    <t>Lists transactions with Package name, credits, cost, date, status (Completed).</t>
  </si>
  <si>
    <t>HR account, made purchases.</t>
  </si>
  <si>
    <t>HRD_015</t>
  </si>
  <si>
    <t>Update Recruiter company profile and logo information.</t>
  </si>
  <si>
    <t>1. Go to Company Setup.
2. Change company description and upload new logo.
3. Click Save.</t>
  </si>
  <si>
    <t>Logo uploaded to Cloudinary. Info saved in DB and refreshed across jobs listings.</t>
  </si>
  <si>
    <t>HR Recruiter logged.</t>
  </si>
  <si>
    <t>HRD_016</t>
  </si>
  <si>
    <t>Upload company business registration document for HR verification.</t>
  </si>
  <si>
    <t>1. Go to Settings -&gt; Verification.
2. Upload business license PDF.
3. Click Submit.</t>
  </si>
  <si>
    <t>Document saved in DB. Company status set to Verification Pending. Notifies Admin.</t>
  </si>
  <si>
    <t>Testing administrator overview dashboard, Candidate/HR company listings approval verifications, system settings config, and AI prompts parameters tuning.</t>
  </si>
  <si>
    <t>ADM_001</t>
  </si>
  <si>
    <t>View Admin Dashboard statistics overview.</t>
  </si>
  <si>
    <t>1. Log in as Administrator.
2. View dashboard screen.</t>
  </si>
  <si>
    <t>Displays charts of monthly signups, active jobs, pending verifications, total payments.</t>
  </si>
  <si>
    <t>Admin credentials.</t>
  </si>
  <si>
    <t>ADM_002</t>
  </si>
  <si>
    <t>Manage registered system user accounts (search/block).</t>
  </si>
  <si>
    <t>1. Go to Manage Users.
2. Search user by name.
3. Click Block on candidate user.</t>
  </si>
  <si>
    <t>User status updated to Blocked in DB. User immediately logged out and blocked on login.</t>
  </si>
  <si>
    <t>Admin logged.</t>
  </si>
  <si>
    <t>ADM_003</t>
  </si>
  <si>
    <t>Manage employer company listings (approve/reject).</t>
  </si>
  <si>
    <t>1. Go to Manage Companies.
2. Filter list by "Pending".</t>
  </si>
  <si>
    <t>Displays companies requesting business license verifications.</t>
  </si>
  <si>
    <t>ADM_004</t>
  </si>
  <si>
    <t>Approve Recruiter company verification request.</t>
  </si>
  <si>
    <t>1. Select pending company TechCorp.
2. Verify PDF document.
3. Click Approve.</t>
  </si>
  <si>
    <t>Status changes to Approved in DB. Sends approval email. Recruiter permissions unlocked.</t>
  </si>
  <si>
    <t>ADM_005</t>
  </si>
  <si>
    <t>Reject Recruiter company verification request with reason.</t>
  </si>
  <si>
    <t>1. Select pending company FakeCorp.
2. Click Reject.
3. Input reason "Invalid Tax License".
4. Click Submit.</t>
  </si>
  <si>
    <t>Status changes to Rejected. Rejection email containing reason sent to recruiter.</t>
  </si>
  <si>
    <t>ADM_006</t>
  </si>
  <si>
    <t>Manage inappropriate job posts listing.</t>
  </si>
  <si>
    <t>1. Go to Manage Jobs.
2. Select job violating policy.
3. Click Delete.</t>
  </si>
  <si>
    <t>Job removed from DB. Recruiter notified via system dashboard notifications.</t>
  </si>
  <si>
    <t>ADM_007</t>
  </si>
  <si>
    <t>Manage community forum blog posts (Approve/Delete).</t>
  </si>
  <si>
    <t>1. Go to Manage Blogs.
2. Select spam post.
3. Click Delete.</t>
  </si>
  <si>
    <t>Post removed from DB and disappeared from Community feed for candidates.</t>
  </si>
  <si>
    <t>ADM_008</t>
  </si>
  <si>
    <t>View overall payment transactions history list.</t>
  </si>
  <si>
    <t>1. Go to Payments.
2. Filter transactions by date.</t>
  </si>
  <si>
    <t>Lists payment details, transaction ID, company name, package, amount, status.</t>
  </si>
  <si>
    <t>ADM_009</t>
  </si>
  <si>
    <t>Configure AI system models and processing configurations.</t>
  </si>
  <si>
    <t>1. Go to AI Settings.
2. Select processing model "Claude 3.5 Sonnet".
3. Adjust Temperature setting slider to 0.5.
4. Click Save.</t>
  </si>
  <si>
    <t>Configurations updated in PostgreSQL DB. Model parameters apply immediately on future interviews.</t>
  </si>
  <si>
    <t>ADM_010</t>
  </si>
  <si>
    <t>Edit base prompt template used for AI mock interview questions.</t>
  </si>
  <si>
    <t>1. Go to AI Settings -&gt; Prompts.
2. Modify prompt instructions template.
3. Click Save.</t>
  </si>
  <si>
    <t>Prompts updated. System begins generating interview questions matching new prompt instructions.</t>
  </si>
  <si>
    <t>ADM_011</t>
  </si>
  <si>
    <t>Configure system email SMTP credentials configurations.</t>
  </si>
  <si>
    <t>1. Go to System Settings.
2. Edit email SMTP credentials.
3. Click Save &amp; Test connection.</t>
  </si>
  <si>
    <t>Settings saved. Test email successfully dispatched confirming SMTP active.</t>
  </si>
  <si>
    <t>ADM_012</t>
  </si>
  <si>
    <t>Manage system role permissions assignments.</t>
  </si>
  <si>
    <t>1. Go to Permissions.
2. Select role HR Recruiter.
3. Toggle publish jobs permission.
4. Click Save.</t>
  </si>
  <si>
    <t>Permissions saved. HR accounts inherit new role permissions immediately.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</si>
</sst>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\-mmm\-yy;@"/>
    <numFmt numFmtId="165" formatCode="yyyy\-mm\-dd"/>
  </numFmts>
  <fonts count="26">
    <font>
      <sz val="11"/>
      <color theme="1"/>
      <name val="Calibri"/>
      <family val="2"/>
      <scheme val="minor"/>
    </font>
    <font>
      <sz val="10"/>
      <name val="Tahoma"/>
      <family val="2"/>
    </font>
    <font>
      <b/>
      <sz val="26"/>
      <color indexed="10"/>
      <name val="Tahoma"/>
      <family val="2"/>
    </font>
    <font>
      <b/>
      <sz val="20"/>
      <color indexed="8"/>
      <name val="Tahoma"/>
      <family val="2"/>
    </font>
    <font>
      <b/>
      <sz val="10"/>
      <color indexed="60"/>
      <name val="Tahoma"/>
      <family val="2"/>
    </font>
    <font>
      <i/>
      <sz val="10"/>
      <color indexed="17"/>
      <name val="Tahoma"/>
      <family val="2"/>
    </font>
    <font>
      <b/>
      <sz val="10"/>
      <name val="Tahoma"/>
      <family val="2"/>
    </font>
    <font>
      <i/>
      <sz val="10"/>
      <name val="Tahoma"/>
      <family val="2"/>
    </font>
    <font>
      <b/>
      <sz val="10"/>
      <color indexed="9"/>
      <name val="Tahoma"/>
      <family val="2"/>
    </font>
    <font>
      <b/>
      <sz val="10"/>
      <color indexed="8"/>
      <name val="Tahoma"/>
      <family val="2"/>
    </font>
    <font>
      <b/>
      <sz val="10"/>
      <color indexed="10"/>
      <name val="Tahoma"/>
      <family val="2"/>
    </font>
    <font>
      <u/>
      <sz val="11"/>
      <color indexed="12"/>
      <name val="ＭＳ Ｐゴシック"/>
      <family val="3"/>
      <charset val="128"/>
    </font>
    <font>
      <sz val="10"/>
      <color indexed="9"/>
      <name val="Tahoma"/>
      <family val="2"/>
    </font>
    <font>
      <b/>
      <sz val="10"/>
      <color indexed="12"/>
      <name val="Tahoma"/>
      <family val="2"/>
    </font>
    <font>
      <sz val="10"/>
      <color indexed="8"/>
      <name val="Tahoma"/>
      <family val="2"/>
    </font>
    <font>
      <sz val="10"/>
      <color indexed="10"/>
      <name val="Tahoma"/>
      <family val="2"/>
    </font>
    <font>
      <sz val="10"/>
      <color rgb="FF000000"/>
      <name val="Tahoma"/>
      <family val="2"/>
    </font>
    <font>
      <b/>
      <i/>
      <sz val="10"/>
      <name val="Tahoma"/>
      <family val="2"/>
    </font>
    <font>
      <b/>
      <sz val="10"/>
      <name val="Arial"/>
    </font>
    <font>
      <sz val="10"/>
      <name val="Arial"/>
    </font>
    <font>
      <b/>
      <sz val="10"/>
      <color rgb="FF375623"/>
      <name val="Arial"/>
    </font>
    <font>
      <sz val="10"/>
      <color rgb="FF7F7F7F"/>
      <name val="Arial"/>
    </font>
    <font>
      <b/>
      <sz val="10"/>
      <color rgb="FFC00000"/>
      <name val="Arial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8"/>
      <color rgb="FF000000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18"/>
        <bgColor indexed="32"/>
      </patternFill>
    </fill>
    <fill>
      <patternFill patternType="solid">
        <fgColor indexed="62"/>
        <bgColor indexed="56"/>
      </patternFill>
    </fill>
    <fill>
      <patternFill patternType="solid">
        <fgColor rgb="FFFFFFFF"/>
        <bgColor rgb="FFFFFFFF"/>
      </patternFill>
    </fill>
    <fill>
      <patternFill patternType="solid">
        <fgColor theme="6" tint="-0.249977111117893"/>
        <bgColor indexed="32"/>
      </patternFill>
    </fill>
    <fill>
      <patternFill patternType="solid">
        <fgColor indexed="27"/>
        <bgColor indexed="41"/>
      </patternFill>
    </fill>
    <fill>
      <patternFill patternType="solid">
        <fgColor rgb="FFE2EFDA"/>
      </patternFill>
    </fill>
    <fill>
      <patternFill patternType="solid">
        <fgColor rgb="FFF2F2F2"/>
      </patternFill>
    </fill>
    <fill>
      <patternFill patternType="solid">
        <fgColor rgb="FFFCE4D6"/>
      </patternFill>
    </fill>
  </fills>
  <borders count="38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/>
      <top style="thin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  <border>
      <left/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medium">
        <color indexed="8"/>
      </right>
      <top style="thin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medium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medium">
        <color indexed="8"/>
      </right>
      <top style="hair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36">
    <xf numFmtId="0" fontId="0" fillId="0" borderId="0" xfId="0"/>
    <xf numFmtId="0" fontId="1" fillId="0" borderId="0" xfId="0" applyFont="1" applyAlignment="1">
      <alignment horizontal="left" indent="1"/>
    </xf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2" borderId="0" xfId="0" applyFont="1" applyFill="1" applyAlignment="1">
      <alignment horizontal="left" indent="1"/>
    </xf>
    <xf numFmtId="0" fontId="5" fillId="0" borderId="0" xfId="0" applyFont="1" applyAlignment="1">
      <alignment horizontal="left" indent="1"/>
    </xf>
    <xf numFmtId="0" fontId="1" fillId="2" borderId="0" xfId="0" applyFont="1" applyFill="1"/>
    <xf numFmtId="0" fontId="6" fillId="2" borderId="2" xfId="0" applyFont="1" applyFill="1" applyBorder="1" applyAlignment="1">
      <alignment horizontal="left"/>
    </xf>
    <xf numFmtId="0" fontId="1" fillId="0" borderId="3" xfId="0" applyFont="1" applyBorder="1"/>
    <xf numFmtId="14" fontId="7" fillId="0" borderId="3" xfId="0" applyNumberFormat="1" applyFont="1" applyBorder="1"/>
    <xf numFmtId="0" fontId="6" fillId="2" borderId="2" xfId="0" applyFont="1" applyFill="1" applyBorder="1" applyAlignment="1">
      <alignment vertical="center"/>
    </xf>
    <xf numFmtId="0" fontId="7" fillId="0" borderId="3" xfId="0" applyFont="1" applyBorder="1" applyAlignment="1">
      <alignment horizontal="left" indent="1"/>
    </xf>
    <xf numFmtId="0" fontId="6" fillId="0" borderId="0" xfId="0" applyFont="1"/>
    <xf numFmtId="0" fontId="5" fillId="0" borderId="0" xfId="0" applyFont="1" applyAlignment="1">
      <alignment horizontal="left"/>
    </xf>
    <xf numFmtId="0" fontId="4" fillId="0" borderId="0" xfId="0" applyFont="1" applyAlignment="1">
      <alignment horizontal="left" indent="1"/>
    </xf>
    <xf numFmtId="0" fontId="6" fillId="0" borderId="0" xfId="0" applyFont="1" applyAlignment="1">
      <alignment horizontal="left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vertical="center"/>
    </xf>
    <xf numFmtId="164" fontId="8" fillId="3" borderId="5" xfId="0" applyNumberFormat="1" applyFont="1" applyFill="1" applyBorder="1" applyAlignment="1">
      <alignment horizontal="center" vertical="center" wrapText="1"/>
    </xf>
    <xf numFmtId="0" fontId="8" fillId="3" borderId="6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top"/>
    </xf>
    <xf numFmtId="14" fontId="7" fillId="0" borderId="8" xfId="0" applyNumberFormat="1" applyFont="1" applyBorder="1" applyAlignment="1">
      <alignment vertical="top" wrapText="1"/>
    </xf>
    <xf numFmtId="49" fontId="1" fillId="0" borderId="9" xfId="0" applyNumberFormat="1" applyFont="1" applyBorder="1" applyAlignment="1">
      <alignment vertical="top" wrapText="1"/>
    </xf>
    <xf numFmtId="0" fontId="1" fillId="0" borderId="9" xfId="0" applyFont="1" applyBorder="1" applyAlignment="1">
      <alignment vertical="top" wrapText="1"/>
    </xf>
    <xf numFmtId="15" fontId="1" fillId="0" borderId="9" xfId="0" applyNumberFormat="1" applyFont="1" applyBorder="1" applyAlignment="1">
      <alignment vertical="top" wrapText="1"/>
    </xf>
    <xf numFmtId="0" fontId="7" fillId="0" borderId="10" xfId="0" applyFont="1" applyBorder="1" applyAlignment="1">
      <alignment vertical="top" wrapText="1"/>
    </xf>
    <xf numFmtId="0" fontId="1" fillId="0" borderId="11" xfId="0" applyFont="1" applyBorder="1" applyAlignment="1">
      <alignment vertical="top" wrapText="1"/>
    </xf>
    <xf numFmtId="0" fontId="1" fillId="0" borderId="12" xfId="0" applyFont="1" applyBorder="1" applyAlignment="1">
      <alignment vertical="top" wrapText="1"/>
    </xf>
    <xf numFmtId="1" fontId="1" fillId="2" borderId="0" xfId="0" applyNumberFormat="1" applyFont="1" applyFill="1"/>
    <xf numFmtId="0" fontId="1" fillId="2" borderId="0" xfId="0" applyFont="1" applyFill="1" applyAlignment="1">
      <alignment horizontal="left"/>
    </xf>
    <xf numFmtId="1" fontId="1" fillId="2" borderId="0" xfId="0" applyNumberFormat="1" applyFont="1" applyFill="1" applyProtection="1">
      <protection hidden="1"/>
    </xf>
    <xf numFmtId="0" fontId="3" fillId="2" borderId="0" xfId="0" applyFont="1" applyFill="1" applyAlignment="1">
      <alignment horizontal="left"/>
    </xf>
    <xf numFmtId="0" fontId="9" fillId="2" borderId="0" xfId="0" applyFont="1" applyFill="1" applyAlignment="1">
      <alignment horizontal="left"/>
    </xf>
    <xf numFmtId="0" fontId="10" fillId="2" borderId="0" xfId="0" applyFont="1" applyFill="1" applyAlignment="1">
      <alignment horizontal="left"/>
    </xf>
    <xf numFmtId="0" fontId="1" fillId="2" borderId="0" xfId="0" applyFont="1" applyFill="1" applyAlignment="1">
      <alignment wrapText="1"/>
    </xf>
    <xf numFmtId="1" fontId="4" fillId="2" borderId="0" xfId="0" applyNumberFormat="1" applyFont="1" applyFill="1"/>
    <xf numFmtId="0" fontId="1" fillId="2" borderId="0" xfId="0" applyFont="1" applyFill="1" applyAlignment="1">
      <alignment vertical="center"/>
    </xf>
    <xf numFmtId="1" fontId="1" fillId="2" borderId="0" xfId="0" applyNumberFormat="1" applyFont="1" applyFill="1" applyAlignment="1" applyProtection="1">
      <alignment vertical="center"/>
      <protection hidden="1"/>
    </xf>
    <xf numFmtId="0" fontId="1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center"/>
    </xf>
    <xf numFmtId="1" fontId="8" fillId="4" borderId="5" xfId="0" applyNumberFormat="1" applyFont="1" applyFill="1" applyBorder="1" applyAlignment="1">
      <alignment horizontal="center" vertical="center"/>
    </xf>
    <xf numFmtId="0" fontId="8" fillId="4" borderId="6" xfId="0" applyFont="1" applyFill="1" applyBorder="1" applyAlignment="1">
      <alignment horizontal="center" vertical="center"/>
    </xf>
    <xf numFmtId="0" fontId="8" fillId="4" borderId="13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/>
    </xf>
    <xf numFmtId="1" fontId="1" fillId="2" borderId="8" xfId="0" applyNumberFormat="1" applyFont="1" applyFill="1" applyBorder="1" applyAlignment="1">
      <alignment vertical="center"/>
    </xf>
    <xf numFmtId="49" fontId="1" fillId="2" borderId="9" xfId="0" applyNumberFormat="1" applyFont="1" applyFill="1" applyBorder="1" applyAlignment="1">
      <alignment horizontal="left" vertical="center"/>
    </xf>
    <xf numFmtId="0" fontId="11" fillId="2" borderId="9" xfId="0" applyFont="1" applyFill="1" applyBorder="1" applyAlignment="1">
      <alignment horizontal="left" vertical="center"/>
    </xf>
    <xf numFmtId="0" fontId="1" fillId="2" borderId="10" xfId="0" applyFont="1" applyFill="1" applyBorder="1" applyAlignment="1">
      <alignment horizontal="left" vertical="center" wrapText="1"/>
    </xf>
    <xf numFmtId="1" fontId="1" fillId="2" borderId="14" xfId="0" applyNumberFormat="1" applyFont="1" applyFill="1" applyBorder="1" applyAlignment="1">
      <alignment vertical="center"/>
    </xf>
    <xf numFmtId="49" fontId="1" fillId="2" borderId="12" xfId="0" applyNumberFormat="1" applyFont="1" applyFill="1" applyBorder="1" applyAlignment="1">
      <alignment horizontal="left" vertical="center"/>
    </xf>
    <xf numFmtId="0" fontId="1" fillId="2" borderId="12" xfId="0" applyFont="1" applyFill="1" applyBorder="1" applyAlignment="1">
      <alignment horizontal="left" vertical="center"/>
    </xf>
    <xf numFmtId="0" fontId="1" fillId="2" borderId="12" xfId="0" applyFont="1" applyFill="1" applyBorder="1" applyAlignment="1">
      <alignment horizontal="left" vertical="center" wrapText="1"/>
    </xf>
    <xf numFmtId="0" fontId="1" fillId="2" borderId="15" xfId="0" applyFont="1" applyFill="1" applyBorder="1" applyAlignment="1">
      <alignment horizontal="left" vertical="center"/>
    </xf>
    <xf numFmtId="0" fontId="6" fillId="2" borderId="0" xfId="0" applyFont="1" applyFill="1"/>
    <xf numFmtId="164" fontId="1" fillId="2" borderId="0" xfId="0" applyNumberFormat="1" applyFont="1" applyFill="1"/>
    <xf numFmtId="0" fontId="4" fillId="2" borderId="2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left"/>
    </xf>
    <xf numFmtId="0" fontId="1" fillId="2" borderId="3" xfId="0" applyFont="1" applyFill="1" applyBorder="1" applyAlignment="1">
      <alignment vertical="top"/>
    </xf>
    <xf numFmtId="0" fontId="4" fillId="2" borderId="2" xfId="0" applyFont="1" applyFill="1" applyBorder="1" applyAlignment="1">
      <alignment vertical="center"/>
    </xf>
    <xf numFmtId="14" fontId="4" fillId="2" borderId="3" xfId="0" applyNumberFormat="1" applyFont="1" applyFill="1" applyBorder="1" applyAlignment="1">
      <alignment horizontal="left"/>
    </xf>
    <xf numFmtId="0" fontId="4" fillId="2" borderId="0" xfId="0" applyFont="1" applyFill="1"/>
    <xf numFmtId="0" fontId="5" fillId="2" borderId="0" xfId="0" applyFont="1" applyFill="1"/>
    <xf numFmtId="0" fontId="1" fillId="2" borderId="16" xfId="0" applyFont="1" applyFill="1" applyBorder="1"/>
    <xf numFmtId="0" fontId="8" fillId="3" borderId="17" xfId="0" applyFont="1" applyFill="1" applyBorder="1" applyAlignment="1">
      <alignment horizontal="center"/>
    </xf>
    <xf numFmtId="0" fontId="8" fillId="3" borderId="6" xfId="0" applyFont="1" applyFill="1" applyBorder="1" applyAlignment="1">
      <alignment horizontal="center" wrapText="1"/>
    </xf>
    <xf numFmtId="0" fontId="8" fillId="3" borderId="6" xfId="0" applyFont="1" applyFill="1" applyBorder="1" applyAlignment="1">
      <alignment horizontal="center"/>
    </xf>
    <xf numFmtId="0" fontId="8" fillId="3" borderId="13" xfId="0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 wrapText="1"/>
    </xf>
    <xf numFmtId="0" fontId="1" fillId="2" borderId="19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vertical="center" wrapText="1"/>
    </xf>
    <xf numFmtId="0" fontId="1" fillId="2" borderId="9" xfId="0" applyFont="1" applyFill="1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12" fillId="3" borderId="22" xfId="0" applyFont="1" applyFill="1" applyBorder="1" applyAlignment="1">
      <alignment horizontal="center"/>
    </xf>
    <xf numFmtId="0" fontId="8" fillId="3" borderId="12" xfId="0" applyFont="1" applyFill="1" applyBorder="1"/>
    <xf numFmtId="0" fontId="12" fillId="3" borderId="12" xfId="0" applyFont="1" applyFill="1" applyBorder="1" applyAlignment="1">
      <alignment horizontal="center"/>
    </xf>
    <xf numFmtId="0" fontId="12" fillId="3" borderId="2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10" fontId="1" fillId="2" borderId="0" xfId="0" applyNumberFormat="1" applyFont="1" applyFill="1" applyAlignment="1">
      <alignment horizontal="center"/>
    </xf>
    <xf numFmtId="9" fontId="1" fillId="2" borderId="0" xfId="0" applyNumberFormat="1" applyFont="1" applyFill="1" applyAlignment="1">
      <alignment horizontal="center"/>
    </xf>
    <xf numFmtId="0" fontId="4" fillId="2" borderId="0" xfId="0" applyFont="1" applyFill="1" applyAlignment="1">
      <alignment horizontal="left"/>
    </xf>
    <xf numFmtId="2" fontId="13" fillId="2" borderId="0" xfId="0" applyNumberFormat="1" applyFont="1" applyFill="1" applyAlignment="1">
      <alignment horizontal="right" wrapText="1"/>
    </xf>
    <xf numFmtId="0" fontId="14" fillId="2" borderId="0" xfId="0" applyFont="1" applyFill="1" applyAlignment="1">
      <alignment horizontal="center" wrapText="1"/>
    </xf>
    <xf numFmtId="0" fontId="15" fillId="2" borderId="0" xfId="0" applyFont="1" applyFill="1"/>
    <xf numFmtId="0" fontId="14" fillId="2" borderId="0" xfId="0" applyFont="1" applyFill="1"/>
    <xf numFmtId="0" fontId="6" fillId="2" borderId="24" xfId="0" applyFont="1" applyFill="1" applyBorder="1" applyAlignment="1">
      <alignment horizontal="center" vertical="top" wrapText="1"/>
    </xf>
    <xf numFmtId="0" fontId="5" fillId="2" borderId="0" xfId="0" applyFont="1" applyFill="1" applyAlignment="1">
      <alignment wrapText="1"/>
    </xf>
    <xf numFmtId="0" fontId="5" fillId="2" borderId="0" xfId="0" applyFont="1" applyFill="1" applyAlignment="1">
      <alignment horizontal="left" wrapText="1"/>
    </xf>
    <xf numFmtId="0" fontId="15" fillId="2" borderId="0" xfId="0" applyFont="1" applyFill="1" applyAlignment="1">
      <alignment wrapText="1"/>
    </xf>
    <xf numFmtId="0" fontId="6" fillId="2" borderId="28" xfId="0" applyFont="1" applyFill="1" applyBorder="1" applyAlignment="1">
      <alignment horizontal="center" vertical="top" wrapText="1"/>
    </xf>
    <xf numFmtId="0" fontId="17" fillId="2" borderId="28" xfId="0" applyFont="1" applyFill="1" applyBorder="1" applyAlignment="1">
      <alignment horizontal="center" vertical="top" wrapText="1"/>
    </xf>
    <xf numFmtId="0" fontId="17" fillId="2" borderId="29" xfId="0" applyFont="1" applyFill="1" applyBorder="1" applyAlignment="1">
      <alignment horizontal="center" vertical="center" wrapText="1"/>
    </xf>
    <xf numFmtId="0" fontId="17" fillId="2" borderId="30" xfId="0" applyFont="1" applyFill="1" applyBorder="1" applyAlignment="1">
      <alignment horizontal="center" vertical="center" wrapText="1"/>
    </xf>
    <xf numFmtId="0" fontId="9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wrapText="1"/>
    </xf>
    <xf numFmtId="0" fontId="15" fillId="2" borderId="0" xfId="0" applyFont="1" applyFill="1" applyAlignment="1">
      <alignment horizontal="center" wrapText="1"/>
    </xf>
    <xf numFmtId="0" fontId="1" fillId="2" borderId="29" xfId="0" applyFont="1" applyFill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center" vertical="center" wrapText="1"/>
    </xf>
    <xf numFmtId="0" fontId="14" fillId="2" borderId="0" xfId="0" applyFont="1" applyFill="1" applyAlignment="1">
      <alignment horizontal="center" vertical="center" wrapText="1"/>
    </xf>
    <xf numFmtId="0" fontId="17" fillId="2" borderId="31" xfId="0" applyFont="1" applyFill="1" applyBorder="1" applyAlignment="1">
      <alignment horizontal="center" vertical="top" wrapText="1"/>
    </xf>
    <xf numFmtId="0" fontId="1" fillId="2" borderId="32" xfId="0" applyFont="1" applyFill="1" applyBorder="1" applyAlignment="1">
      <alignment horizontal="center" vertical="center" wrapText="1"/>
    </xf>
    <xf numFmtId="0" fontId="1" fillId="2" borderId="33" xfId="0" applyFont="1" applyFill="1" applyBorder="1" applyAlignment="1">
      <alignment horizontal="center" vertical="center" wrapText="1"/>
    </xf>
    <xf numFmtId="0" fontId="8" fillId="6" borderId="29" xfId="0" applyFont="1" applyFill="1" applyBorder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  <xf numFmtId="0" fontId="6" fillId="7" borderId="34" xfId="0" applyFont="1" applyFill="1" applyBorder="1" applyAlignment="1">
      <alignment horizontal="left" vertical="center"/>
    </xf>
    <xf numFmtId="0" fontId="6" fillId="7" borderId="35" xfId="0" applyFont="1" applyFill="1" applyBorder="1" applyAlignment="1">
      <alignment horizontal="left" vertical="center"/>
    </xf>
    <xf numFmtId="0" fontId="6" fillId="7" borderId="35" xfId="0" applyFont="1" applyFill="1" applyBorder="1" applyAlignment="1">
      <alignment horizontal="center" vertical="center"/>
    </xf>
    <xf numFmtId="0" fontId="6" fillId="7" borderId="36" xfId="0" applyFont="1" applyFill="1" applyBorder="1" applyAlignment="1">
      <alignment horizontal="left" vertical="center"/>
    </xf>
    <xf numFmtId="0" fontId="10" fillId="2" borderId="0" xfId="0" applyFont="1" applyFill="1" applyAlignment="1">
      <alignment horizontal="left" vertical="center"/>
    </xf>
    <xf numFmtId="0" fontId="14" fillId="2" borderId="0" xfId="0" applyFont="1" applyFill="1" applyAlignment="1">
      <alignment vertical="top"/>
    </xf>
    <xf numFmtId="0" fontId="18" fillId="0" borderId="37" xfId="0" applyFont="1" applyBorder="1" applyAlignment="1">
      <alignment horizontal="center" vertical="center" wrapText="1"/>
    </xf>
    <xf numFmtId="0" fontId="19" fillId="0" borderId="37" xfId="0" applyFont="1" applyBorder="1" applyAlignment="1">
      <alignment horizontal="left" vertical="center" wrapText="1"/>
    </xf>
    <xf numFmtId="0" fontId="20" fillId="8" borderId="37" xfId="0" applyFont="1" applyFill="1" applyBorder="1" applyAlignment="1">
      <alignment horizontal="center" vertical="center" wrapText="1"/>
    </xf>
    <xf numFmtId="165" fontId="19" fillId="0" borderId="37" xfId="0" applyNumberFormat="1" applyFont="1" applyBorder="1" applyAlignment="1">
      <alignment horizontal="center" vertical="center" wrapText="1"/>
    </xf>
    <xf numFmtId="0" fontId="19" fillId="0" borderId="37" xfId="0" applyFont="1" applyBorder="1" applyAlignment="1">
      <alignment horizontal="center" vertical="center" wrapText="1"/>
    </xf>
    <xf numFmtId="0" fontId="21" fillId="9" borderId="37" xfId="0" applyFont="1" applyFill="1" applyBorder="1" applyAlignment="1">
      <alignment horizontal="center" vertical="center" wrapText="1"/>
    </xf>
    <xf numFmtId="0" fontId="22" fillId="10" borderId="37" xfId="0" applyFont="1" applyFill="1" applyBorder="1" applyAlignment="1">
      <alignment horizontal="center" vertical="center" wrapText="1"/>
    </xf>
    <xf numFmtId="0" fontId="16" fillId="5" borderId="25" xfId="0" applyFont="1" applyFill="1" applyBorder="1" applyAlignment="1">
      <alignment vertical="center" wrapText="1"/>
    </xf>
    <xf numFmtId="0" fontId="1" fillId="2" borderId="29" xfId="0" applyFont="1" applyFill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left"/>
    </xf>
    <xf numFmtId="0" fontId="7" fillId="0" borderId="1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1" fontId="4" fillId="2" borderId="1" xfId="0" applyNumberFormat="1" applyFont="1" applyFill="1" applyBorder="1"/>
    <xf numFmtId="1" fontId="4" fillId="2" borderId="2" xfId="0" applyNumberFormat="1" applyFont="1" applyFill="1" applyBorder="1" applyAlignment="1">
      <alignment vertical="center" wrapText="1"/>
    </xf>
    <xf numFmtId="0" fontId="5" fillId="2" borderId="2" xfId="0" applyFont="1" applyFill="1" applyBorder="1" applyAlignment="1">
      <alignment vertical="top" wrapText="1"/>
    </xf>
    <xf numFmtId="0" fontId="3" fillId="2" borderId="0" xfId="0" applyFont="1" applyFill="1" applyAlignment="1">
      <alignment horizontal="center"/>
    </xf>
    <xf numFmtId="0" fontId="5" fillId="2" borderId="2" xfId="0" applyFont="1" applyFill="1" applyBorder="1" applyAlignment="1">
      <alignment horizontal="left"/>
    </xf>
    <xf numFmtId="0" fontId="4" fillId="2" borderId="2" xfId="0" applyFont="1" applyFill="1" applyBorder="1" applyAlignment="1">
      <alignment horizontal="left"/>
    </xf>
    <xf numFmtId="0" fontId="5" fillId="2" borderId="2" xfId="0" applyFont="1" applyFill="1" applyBorder="1" applyAlignment="1">
      <alignment vertical="top"/>
    </xf>
    <xf numFmtId="0" fontId="1" fillId="0" borderId="26" xfId="0" applyFont="1" applyBorder="1" applyAlignment="1">
      <alignment vertical="center"/>
    </xf>
    <xf numFmtId="0" fontId="1" fillId="0" borderId="27" xfId="0" applyFont="1" applyBorder="1" applyAlignment="1">
      <alignment vertical="center"/>
    </xf>
    <xf numFmtId="0" fontId="1" fillId="2" borderId="3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88900</xdr:rowOff>
    </xdr:from>
    <xdr:to>
      <xdr:col>2</xdr:col>
      <xdr:colOff>117365</xdr:colOff>
      <xdr:row>1</xdr:row>
      <xdr:rowOff>796925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ccount%20(2)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count (2)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19"/>
  <sheetViews>
    <sheetView showGridLines="0" zoomScale="115" zoomScaleNormal="115" workbookViewId="0">
      <selection activeCell="J9" sqref="J9"/>
    </sheetView>
  </sheetViews>
  <sheetFormatPr defaultColWidth="9" defaultRowHeight="12.75" customHeight="1"/>
  <cols>
    <col min="1" max="1" width="16.42578125" style="1" customWidth="1"/>
    <col min="2" max="2" width="10" style="2" customWidth="1"/>
    <col min="3" max="3" width="27.7109375" style="2" customWidth="1"/>
    <col min="4" max="4" width="8" style="2" customWidth="1"/>
    <col min="5" max="5" width="63" style="2" customWidth="1"/>
    <col min="6" max="6" width="14.28515625" style="2" customWidth="1"/>
    <col min="7" max="256" width="9" style="2" customWidth="1"/>
    <col min="257" max="257" width="28.140625" style="2" customWidth="1"/>
    <col min="258" max="258" width="10" style="2" customWidth="1"/>
    <col min="259" max="259" width="14.42578125" style="2" customWidth="1"/>
    <col min="260" max="260" width="8" style="2" customWidth="1"/>
    <col min="261" max="261" width="38" style="2" customWidth="1"/>
    <col min="262" max="262" width="48.140625" style="2" customWidth="1"/>
    <col min="263" max="512" width="9" style="2" customWidth="1"/>
    <col min="513" max="513" width="28.140625" style="2" customWidth="1"/>
    <col min="514" max="514" width="10" style="2" customWidth="1"/>
    <col min="515" max="515" width="14.42578125" style="2" customWidth="1"/>
    <col min="516" max="516" width="8" style="2" customWidth="1"/>
    <col min="517" max="517" width="38" style="2" customWidth="1"/>
    <col min="518" max="518" width="48.140625" style="2" customWidth="1"/>
    <col min="519" max="768" width="9" style="2" customWidth="1"/>
    <col min="769" max="769" width="28.140625" style="2" customWidth="1"/>
    <col min="770" max="770" width="10" style="2" customWidth="1"/>
    <col min="771" max="771" width="14.42578125" style="2" customWidth="1"/>
    <col min="772" max="772" width="8" style="2" customWidth="1"/>
    <col min="773" max="773" width="38" style="2" customWidth="1"/>
    <col min="774" max="774" width="48.140625" style="2" customWidth="1"/>
    <col min="775" max="1024" width="9" style="2" customWidth="1"/>
    <col min="1025" max="1025" width="28.140625" style="2" customWidth="1"/>
    <col min="1026" max="1026" width="10" style="2" customWidth="1"/>
    <col min="1027" max="1027" width="14.42578125" style="2" customWidth="1"/>
    <col min="1028" max="1028" width="8" style="2" customWidth="1"/>
    <col min="1029" max="1029" width="38" style="2" customWidth="1"/>
    <col min="1030" max="1030" width="48.140625" style="2" customWidth="1"/>
    <col min="1031" max="1280" width="9" style="2" customWidth="1"/>
    <col min="1281" max="1281" width="28.140625" style="2" customWidth="1"/>
    <col min="1282" max="1282" width="10" style="2" customWidth="1"/>
    <col min="1283" max="1283" width="14.42578125" style="2" customWidth="1"/>
    <col min="1284" max="1284" width="8" style="2" customWidth="1"/>
    <col min="1285" max="1285" width="38" style="2" customWidth="1"/>
    <col min="1286" max="1286" width="48.140625" style="2" customWidth="1"/>
    <col min="1287" max="1536" width="9" style="2" customWidth="1"/>
    <col min="1537" max="1537" width="28.140625" style="2" customWidth="1"/>
    <col min="1538" max="1538" width="10" style="2" customWidth="1"/>
    <col min="1539" max="1539" width="14.42578125" style="2" customWidth="1"/>
    <col min="1540" max="1540" width="8" style="2" customWidth="1"/>
    <col min="1541" max="1541" width="38" style="2" customWidth="1"/>
    <col min="1542" max="1542" width="48.140625" style="2" customWidth="1"/>
    <col min="1543" max="1792" width="9" style="2" customWidth="1"/>
    <col min="1793" max="1793" width="28.140625" style="2" customWidth="1"/>
    <col min="1794" max="1794" width="10" style="2" customWidth="1"/>
    <col min="1795" max="1795" width="14.42578125" style="2" customWidth="1"/>
    <col min="1796" max="1796" width="8" style="2" customWidth="1"/>
    <col min="1797" max="1797" width="38" style="2" customWidth="1"/>
    <col min="1798" max="1798" width="48.140625" style="2" customWidth="1"/>
    <col min="1799" max="2048" width="9" style="2" customWidth="1"/>
    <col min="2049" max="2049" width="28.140625" style="2" customWidth="1"/>
    <col min="2050" max="2050" width="10" style="2" customWidth="1"/>
    <col min="2051" max="2051" width="14.42578125" style="2" customWidth="1"/>
    <col min="2052" max="2052" width="8" style="2" customWidth="1"/>
    <col min="2053" max="2053" width="38" style="2" customWidth="1"/>
    <col min="2054" max="2054" width="48.140625" style="2" customWidth="1"/>
    <col min="2055" max="2304" width="9" style="2" customWidth="1"/>
    <col min="2305" max="2305" width="28.140625" style="2" customWidth="1"/>
    <col min="2306" max="2306" width="10" style="2" customWidth="1"/>
    <col min="2307" max="2307" width="14.42578125" style="2" customWidth="1"/>
    <col min="2308" max="2308" width="8" style="2" customWidth="1"/>
    <col min="2309" max="2309" width="38" style="2" customWidth="1"/>
    <col min="2310" max="2310" width="48.140625" style="2" customWidth="1"/>
    <col min="2311" max="2560" width="9" style="2" customWidth="1"/>
    <col min="2561" max="2561" width="28.140625" style="2" customWidth="1"/>
    <col min="2562" max="2562" width="10" style="2" customWidth="1"/>
    <col min="2563" max="2563" width="14.42578125" style="2" customWidth="1"/>
    <col min="2564" max="2564" width="8" style="2" customWidth="1"/>
    <col min="2565" max="2565" width="38" style="2" customWidth="1"/>
    <col min="2566" max="2566" width="48.140625" style="2" customWidth="1"/>
    <col min="2567" max="2816" width="9" style="2" customWidth="1"/>
    <col min="2817" max="2817" width="28.140625" style="2" customWidth="1"/>
    <col min="2818" max="2818" width="10" style="2" customWidth="1"/>
    <col min="2819" max="2819" width="14.42578125" style="2" customWidth="1"/>
    <col min="2820" max="2820" width="8" style="2" customWidth="1"/>
    <col min="2821" max="2821" width="38" style="2" customWidth="1"/>
    <col min="2822" max="2822" width="48.140625" style="2" customWidth="1"/>
    <col min="2823" max="3072" width="9" style="2" customWidth="1"/>
    <col min="3073" max="3073" width="28.140625" style="2" customWidth="1"/>
    <col min="3074" max="3074" width="10" style="2" customWidth="1"/>
    <col min="3075" max="3075" width="14.42578125" style="2" customWidth="1"/>
    <col min="3076" max="3076" width="8" style="2" customWidth="1"/>
    <col min="3077" max="3077" width="38" style="2" customWidth="1"/>
    <col min="3078" max="3078" width="48.140625" style="2" customWidth="1"/>
    <col min="3079" max="3328" width="9" style="2" customWidth="1"/>
    <col min="3329" max="3329" width="28.140625" style="2" customWidth="1"/>
    <col min="3330" max="3330" width="10" style="2" customWidth="1"/>
    <col min="3331" max="3331" width="14.42578125" style="2" customWidth="1"/>
    <col min="3332" max="3332" width="8" style="2" customWidth="1"/>
    <col min="3333" max="3333" width="38" style="2" customWidth="1"/>
    <col min="3334" max="3334" width="48.140625" style="2" customWidth="1"/>
    <col min="3335" max="3584" width="9" style="2" customWidth="1"/>
    <col min="3585" max="3585" width="28.140625" style="2" customWidth="1"/>
    <col min="3586" max="3586" width="10" style="2" customWidth="1"/>
    <col min="3587" max="3587" width="14.42578125" style="2" customWidth="1"/>
    <col min="3588" max="3588" width="8" style="2" customWidth="1"/>
    <col min="3589" max="3589" width="38" style="2" customWidth="1"/>
    <col min="3590" max="3590" width="48.140625" style="2" customWidth="1"/>
    <col min="3591" max="3840" width="9" style="2" customWidth="1"/>
    <col min="3841" max="3841" width="28.140625" style="2" customWidth="1"/>
    <col min="3842" max="3842" width="10" style="2" customWidth="1"/>
    <col min="3843" max="3843" width="14.42578125" style="2" customWidth="1"/>
    <col min="3844" max="3844" width="8" style="2" customWidth="1"/>
    <col min="3845" max="3845" width="38" style="2" customWidth="1"/>
    <col min="3846" max="3846" width="48.140625" style="2" customWidth="1"/>
    <col min="3847" max="4096" width="9" style="2" customWidth="1"/>
    <col min="4097" max="4097" width="28.140625" style="2" customWidth="1"/>
    <col min="4098" max="4098" width="10" style="2" customWidth="1"/>
    <col min="4099" max="4099" width="14.42578125" style="2" customWidth="1"/>
    <col min="4100" max="4100" width="8" style="2" customWidth="1"/>
    <col min="4101" max="4101" width="38" style="2" customWidth="1"/>
    <col min="4102" max="4102" width="48.140625" style="2" customWidth="1"/>
    <col min="4103" max="4352" width="9" style="2" customWidth="1"/>
    <col min="4353" max="4353" width="28.140625" style="2" customWidth="1"/>
    <col min="4354" max="4354" width="10" style="2" customWidth="1"/>
    <col min="4355" max="4355" width="14.42578125" style="2" customWidth="1"/>
    <col min="4356" max="4356" width="8" style="2" customWidth="1"/>
    <col min="4357" max="4357" width="38" style="2" customWidth="1"/>
    <col min="4358" max="4358" width="48.140625" style="2" customWidth="1"/>
    <col min="4359" max="4608" width="9" style="2" customWidth="1"/>
    <col min="4609" max="4609" width="28.140625" style="2" customWidth="1"/>
    <col min="4610" max="4610" width="10" style="2" customWidth="1"/>
    <col min="4611" max="4611" width="14.42578125" style="2" customWidth="1"/>
    <col min="4612" max="4612" width="8" style="2" customWidth="1"/>
    <col min="4613" max="4613" width="38" style="2" customWidth="1"/>
    <col min="4614" max="4614" width="48.140625" style="2" customWidth="1"/>
    <col min="4615" max="4864" width="9" style="2" customWidth="1"/>
    <col min="4865" max="4865" width="28.140625" style="2" customWidth="1"/>
    <col min="4866" max="4866" width="10" style="2" customWidth="1"/>
    <col min="4867" max="4867" width="14.42578125" style="2" customWidth="1"/>
    <col min="4868" max="4868" width="8" style="2" customWidth="1"/>
    <col min="4869" max="4869" width="38" style="2" customWidth="1"/>
    <col min="4870" max="4870" width="48.140625" style="2" customWidth="1"/>
    <col min="4871" max="5120" width="9" style="2" customWidth="1"/>
    <col min="5121" max="5121" width="28.140625" style="2" customWidth="1"/>
    <col min="5122" max="5122" width="10" style="2" customWidth="1"/>
    <col min="5123" max="5123" width="14.42578125" style="2" customWidth="1"/>
    <col min="5124" max="5124" width="8" style="2" customWidth="1"/>
    <col min="5125" max="5125" width="38" style="2" customWidth="1"/>
    <col min="5126" max="5126" width="48.140625" style="2" customWidth="1"/>
    <col min="5127" max="5376" width="9" style="2" customWidth="1"/>
    <col min="5377" max="5377" width="28.140625" style="2" customWidth="1"/>
    <col min="5378" max="5378" width="10" style="2" customWidth="1"/>
    <col min="5379" max="5379" width="14.42578125" style="2" customWidth="1"/>
    <col min="5380" max="5380" width="8" style="2" customWidth="1"/>
    <col min="5381" max="5381" width="38" style="2" customWidth="1"/>
    <col min="5382" max="5382" width="48.140625" style="2" customWidth="1"/>
    <col min="5383" max="5632" width="9" style="2" customWidth="1"/>
    <col min="5633" max="5633" width="28.140625" style="2" customWidth="1"/>
    <col min="5634" max="5634" width="10" style="2" customWidth="1"/>
    <col min="5635" max="5635" width="14.42578125" style="2" customWidth="1"/>
    <col min="5636" max="5636" width="8" style="2" customWidth="1"/>
    <col min="5637" max="5637" width="38" style="2" customWidth="1"/>
    <col min="5638" max="5638" width="48.140625" style="2" customWidth="1"/>
    <col min="5639" max="5888" width="9" style="2" customWidth="1"/>
    <col min="5889" max="5889" width="28.140625" style="2" customWidth="1"/>
    <col min="5890" max="5890" width="10" style="2" customWidth="1"/>
    <col min="5891" max="5891" width="14.42578125" style="2" customWidth="1"/>
    <col min="5892" max="5892" width="8" style="2" customWidth="1"/>
    <col min="5893" max="5893" width="38" style="2" customWidth="1"/>
    <col min="5894" max="5894" width="48.140625" style="2" customWidth="1"/>
    <col min="5895" max="6144" width="9" style="2" customWidth="1"/>
    <col min="6145" max="6145" width="28.140625" style="2" customWidth="1"/>
    <col min="6146" max="6146" width="10" style="2" customWidth="1"/>
    <col min="6147" max="6147" width="14.42578125" style="2" customWidth="1"/>
    <col min="6148" max="6148" width="8" style="2" customWidth="1"/>
    <col min="6149" max="6149" width="38" style="2" customWidth="1"/>
    <col min="6150" max="6150" width="48.140625" style="2" customWidth="1"/>
    <col min="6151" max="6400" width="9" style="2" customWidth="1"/>
    <col min="6401" max="6401" width="28.140625" style="2" customWidth="1"/>
    <col min="6402" max="6402" width="10" style="2" customWidth="1"/>
    <col min="6403" max="6403" width="14.42578125" style="2" customWidth="1"/>
    <col min="6404" max="6404" width="8" style="2" customWidth="1"/>
    <col min="6405" max="6405" width="38" style="2" customWidth="1"/>
    <col min="6406" max="6406" width="48.140625" style="2" customWidth="1"/>
    <col min="6407" max="6656" width="9" style="2" customWidth="1"/>
    <col min="6657" max="6657" width="28.140625" style="2" customWidth="1"/>
    <col min="6658" max="6658" width="10" style="2" customWidth="1"/>
    <col min="6659" max="6659" width="14.42578125" style="2" customWidth="1"/>
    <col min="6660" max="6660" width="8" style="2" customWidth="1"/>
    <col min="6661" max="6661" width="38" style="2" customWidth="1"/>
    <col min="6662" max="6662" width="48.140625" style="2" customWidth="1"/>
    <col min="6663" max="6912" width="9" style="2" customWidth="1"/>
    <col min="6913" max="6913" width="28.140625" style="2" customWidth="1"/>
    <col min="6914" max="6914" width="10" style="2" customWidth="1"/>
    <col min="6915" max="6915" width="14.42578125" style="2" customWidth="1"/>
    <col min="6916" max="6916" width="8" style="2" customWidth="1"/>
    <col min="6917" max="6917" width="38" style="2" customWidth="1"/>
    <col min="6918" max="6918" width="48.140625" style="2" customWidth="1"/>
    <col min="6919" max="7168" width="9" style="2" customWidth="1"/>
    <col min="7169" max="7169" width="28.140625" style="2" customWidth="1"/>
    <col min="7170" max="7170" width="10" style="2" customWidth="1"/>
    <col min="7171" max="7171" width="14.42578125" style="2" customWidth="1"/>
    <col min="7172" max="7172" width="8" style="2" customWidth="1"/>
    <col min="7173" max="7173" width="38" style="2" customWidth="1"/>
    <col min="7174" max="7174" width="48.140625" style="2" customWidth="1"/>
    <col min="7175" max="7424" width="9" style="2" customWidth="1"/>
    <col min="7425" max="7425" width="28.140625" style="2" customWidth="1"/>
    <col min="7426" max="7426" width="10" style="2" customWidth="1"/>
    <col min="7427" max="7427" width="14.42578125" style="2" customWidth="1"/>
    <col min="7428" max="7428" width="8" style="2" customWidth="1"/>
    <col min="7429" max="7429" width="38" style="2" customWidth="1"/>
    <col min="7430" max="7430" width="48.140625" style="2" customWidth="1"/>
    <col min="7431" max="7680" width="9" style="2" customWidth="1"/>
    <col min="7681" max="7681" width="28.140625" style="2" customWidth="1"/>
    <col min="7682" max="7682" width="10" style="2" customWidth="1"/>
    <col min="7683" max="7683" width="14.42578125" style="2" customWidth="1"/>
    <col min="7684" max="7684" width="8" style="2" customWidth="1"/>
    <col min="7685" max="7685" width="38" style="2" customWidth="1"/>
    <col min="7686" max="7686" width="48.140625" style="2" customWidth="1"/>
    <col min="7687" max="7936" width="9" style="2" customWidth="1"/>
    <col min="7937" max="7937" width="28.140625" style="2" customWidth="1"/>
    <col min="7938" max="7938" width="10" style="2" customWidth="1"/>
    <col min="7939" max="7939" width="14.42578125" style="2" customWidth="1"/>
    <col min="7940" max="7940" width="8" style="2" customWidth="1"/>
    <col min="7941" max="7941" width="38" style="2" customWidth="1"/>
    <col min="7942" max="7942" width="48.140625" style="2" customWidth="1"/>
    <col min="7943" max="8192" width="9" style="2" customWidth="1"/>
    <col min="8193" max="8193" width="28.140625" style="2" customWidth="1"/>
    <col min="8194" max="8194" width="10" style="2" customWidth="1"/>
    <col min="8195" max="8195" width="14.42578125" style="2" customWidth="1"/>
    <col min="8196" max="8196" width="8" style="2" customWidth="1"/>
    <col min="8197" max="8197" width="38" style="2" customWidth="1"/>
    <col min="8198" max="8198" width="48.140625" style="2" customWidth="1"/>
    <col min="8199" max="8448" width="9" style="2" customWidth="1"/>
    <col min="8449" max="8449" width="28.140625" style="2" customWidth="1"/>
    <col min="8450" max="8450" width="10" style="2" customWidth="1"/>
    <col min="8451" max="8451" width="14.42578125" style="2" customWidth="1"/>
    <col min="8452" max="8452" width="8" style="2" customWidth="1"/>
    <col min="8453" max="8453" width="38" style="2" customWidth="1"/>
    <col min="8454" max="8454" width="48.140625" style="2" customWidth="1"/>
    <col min="8455" max="8704" width="9" style="2" customWidth="1"/>
    <col min="8705" max="8705" width="28.140625" style="2" customWidth="1"/>
    <col min="8706" max="8706" width="10" style="2" customWidth="1"/>
    <col min="8707" max="8707" width="14.42578125" style="2" customWidth="1"/>
    <col min="8708" max="8708" width="8" style="2" customWidth="1"/>
    <col min="8709" max="8709" width="38" style="2" customWidth="1"/>
    <col min="8710" max="8710" width="48.140625" style="2" customWidth="1"/>
    <col min="8711" max="8960" width="9" style="2" customWidth="1"/>
    <col min="8961" max="8961" width="28.140625" style="2" customWidth="1"/>
    <col min="8962" max="8962" width="10" style="2" customWidth="1"/>
    <col min="8963" max="8963" width="14.42578125" style="2" customWidth="1"/>
    <col min="8964" max="8964" width="8" style="2" customWidth="1"/>
    <col min="8965" max="8965" width="38" style="2" customWidth="1"/>
    <col min="8966" max="8966" width="48.140625" style="2" customWidth="1"/>
    <col min="8967" max="9216" width="9" style="2" customWidth="1"/>
    <col min="9217" max="9217" width="28.140625" style="2" customWidth="1"/>
    <col min="9218" max="9218" width="10" style="2" customWidth="1"/>
    <col min="9219" max="9219" width="14.42578125" style="2" customWidth="1"/>
    <col min="9220" max="9220" width="8" style="2" customWidth="1"/>
    <col min="9221" max="9221" width="38" style="2" customWidth="1"/>
    <col min="9222" max="9222" width="48.140625" style="2" customWidth="1"/>
    <col min="9223" max="9472" width="9" style="2" customWidth="1"/>
    <col min="9473" max="9473" width="28.140625" style="2" customWidth="1"/>
    <col min="9474" max="9474" width="10" style="2" customWidth="1"/>
    <col min="9475" max="9475" width="14.42578125" style="2" customWidth="1"/>
    <col min="9476" max="9476" width="8" style="2" customWidth="1"/>
    <col min="9477" max="9477" width="38" style="2" customWidth="1"/>
    <col min="9478" max="9478" width="48.140625" style="2" customWidth="1"/>
    <col min="9479" max="9728" width="9" style="2" customWidth="1"/>
    <col min="9729" max="9729" width="28.140625" style="2" customWidth="1"/>
    <col min="9730" max="9730" width="10" style="2" customWidth="1"/>
    <col min="9731" max="9731" width="14.42578125" style="2" customWidth="1"/>
    <col min="9732" max="9732" width="8" style="2" customWidth="1"/>
    <col min="9733" max="9733" width="38" style="2" customWidth="1"/>
    <col min="9734" max="9734" width="48.140625" style="2" customWidth="1"/>
    <col min="9735" max="9984" width="9" style="2" customWidth="1"/>
    <col min="9985" max="9985" width="28.140625" style="2" customWidth="1"/>
    <col min="9986" max="9986" width="10" style="2" customWidth="1"/>
    <col min="9987" max="9987" width="14.42578125" style="2" customWidth="1"/>
    <col min="9988" max="9988" width="8" style="2" customWidth="1"/>
    <col min="9989" max="9989" width="38" style="2" customWidth="1"/>
    <col min="9990" max="9990" width="48.140625" style="2" customWidth="1"/>
    <col min="9991" max="10240" width="9" style="2" customWidth="1"/>
    <col min="10241" max="10241" width="28.140625" style="2" customWidth="1"/>
    <col min="10242" max="10242" width="10" style="2" customWidth="1"/>
    <col min="10243" max="10243" width="14.42578125" style="2" customWidth="1"/>
    <col min="10244" max="10244" width="8" style="2" customWidth="1"/>
    <col min="10245" max="10245" width="38" style="2" customWidth="1"/>
    <col min="10246" max="10246" width="48.140625" style="2" customWidth="1"/>
    <col min="10247" max="10496" width="9" style="2" customWidth="1"/>
    <col min="10497" max="10497" width="28.140625" style="2" customWidth="1"/>
    <col min="10498" max="10498" width="10" style="2" customWidth="1"/>
    <col min="10499" max="10499" width="14.42578125" style="2" customWidth="1"/>
    <col min="10500" max="10500" width="8" style="2" customWidth="1"/>
    <col min="10501" max="10501" width="38" style="2" customWidth="1"/>
    <col min="10502" max="10502" width="48.140625" style="2" customWidth="1"/>
    <col min="10503" max="10752" width="9" style="2" customWidth="1"/>
    <col min="10753" max="10753" width="28.140625" style="2" customWidth="1"/>
    <col min="10754" max="10754" width="10" style="2" customWidth="1"/>
    <col min="10755" max="10755" width="14.42578125" style="2" customWidth="1"/>
    <col min="10756" max="10756" width="8" style="2" customWidth="1"/>
    <col min="10757" max="10757" width="38" style="2" customWidth="1"/>
    <col min="10758" max="10758" width="48.140625" style="2" customWidth="1"/>
    <col min="10759" max="11008" width="9" style="2" customWidth="1"/>
    <col min="11009" max="11009" width="28.140625" style="2" customWidth="1"/>
    <col min="11010" max="11010" width="10" style="2" customWidth="1"/>
    <col min="11011" max="11011" width="14.42578125" style="2" customWidth="1"/>
    <col min="11012" max="11012" width="8" style="2" customWidth="1"/>
    <col min="11013" max="11013" width="38" style="2" customWidth="1"/>
    <col min="11014" max="11014" width="48.140625" style="2" customWidth="1"/>
    <col min="11015" max="11264" width="9" style="2" customWidth="1"/>
    <col min="11265" max="11265" width="28.140625" style="2" customWidth="1"/>
    <col min="11266" max="11266" width="10" style="2" customWidth="1"/>
    <col min="11267" max="11267" width="14.42578125" style="2" customWidth="1"/>
    <col min="11268" max="11268" width="8" style="2" customWidth="1"/>
    <col min="11269" max="11269" width="38" style="2" customWidth="1"/>
    <col min="11270" max="11270" width="48.140625" style="2" customWidth="1"/>
    <col min="11271" max="11520" width="9" style="2" customWidth="1"/>
    <col min="11521" max="11521" width="28.140625" style="2" customWidth="1"/>
    <col min="11522" max="11522" width="10" style="2" customWidth="1"/>
    <col min="11523" max="11523" width="14.42578125" style="2" customWidth="1"/>
    <col min="11524" max="11524" width="8" style="2" customWidth="1"/>
    <col min="11525" max="11525" width="38" style="2" customWidth="1"/>
    <col min="11526" max="11526" width="48.140625" style="2" customWidth="1"/>
    <col min="11527" max="11776" width="9" style="2" customWidth="1"/>
    <col min="11777" max="11777" width="28.140625" style="2" customWidth="1"/>
    <col min="11778" max="11778" width="10" style="2" customWidth="1"/>
    <col min="11779" max="11779" width="14.42578125" style="2" customWidth="1"/>
    <col min="11780" max="11780" width="8" style="2" customWidth="1"/>
    <col min="11781" max="11781" width="38" style="2" customWidth="1"/>
    <col min="11782" max="11782" width="48.140625" style="2" customWidth="1"/>
    <col min="11783" max="12032" width="9" style="2" customWidth="1"/>
    <col min="12033" max="12033" width="28.140625" style="2" customWidth="1"/>
    <col min="12034" max="12034" width="10" style="2" customWidth="1"/>
    <col min="12035" max="12035" width="14.42578125" style="2" customWidth="1"/>
    <col min="12036" max="12036" width="8" style="2" customWidth="1"/>
    <col min="12037" max="12037" width="38" style="2" customWidth="1"/>
    <col min="12038" max="12038" width="48.140625" style="2" customWidth="1"/>
    <col min="12039" max="12288" width="9" style="2" customWidth="1"/>
    <col min="12289" max="12289" width="28.140625" style="2" customWidth="1"/>
    <col min="12290" max="12290" width="10" style="2" customWidth="1"/>
    <col min="12291" max="12291" width="14.42578125" style="2" customWidth="1"/>
    <col min="12292" max="12292" width="8" style="2" customWidth="1"/>
    <col min="12293" max="12293" width="38" style="2" customWidth="1"/>
    <col min="12294" max="12294" width="48.140625" style="2" customWidth="1"/>
    <col min="12295" max="12544" width="9" style="2" customWidth="1"/>
    <col min="12545" max="12545" width="28.140625" style="2" customWidth="1"/>
    <col min="12546" max="12546" width="10" style="2" customWidth="1"/>
    <col min="12547" max="12547" width="14.42578125" style="2" customWidth="1"/>
    <col min="12548" max="12548" width="8" style="2" customWidth="1"/>
    <col min="12549" max="12549" width="38" style="2" customWidth="1"/>
    <col min="12550" max="12550" width="48.140625" style="2" customWidth="1"/>
    <col min="12551" max="12800" width="9" style="2" customWidth="1"/>
    <col min="12801" max="12801" width="28.140625" style="2" customWidth="1"/>
    <col min="12802" max="12802" width="10" style="2" customWidth="1"/>
    <col min="12803" max="12803" width="14.42578125" style="2" customWidth="1"/>
    <col min="12804" max="12804" width="8" style="2" customWidth="1"/>
    <col min="12805" max="12805" width="38" style="2" customWidth="1"/>
    <col min="12806" max="12806" width="48.140625" style="2" customWidth="1"/>
    <col min="12807" max="13056" width="9" style="2" customWidth="1"/>
    <col min="13057" max="13057" width="28.140625" style="2" customWidth="1"/>
    <col min="13058" max="13058" width="10" style="2" customWidth="1"/>
    <col min="13059" max="13059" width="14.42578125" style="2" customWidth="1"/>
    <col min="13060" max="13060" width="8" style="2" customWidth="1"/>
    <col min="13061" max="13061" width="38" style="2" customWidth="1"/>
    <col min="13062" max="13062" width="48.140625" style="2" customWidth="1"/>
    <col min="13063" max="13312" width="9" style="2" customWidth="1"/>
    <col min="13313" max="13313" width="28.140625" style="2" customWidth="1"/>
    <col min="13314" max="13314" width="10" style="2" customWidth="1"/>
    <col min="13315" max="13315" width="14.42578125" style="2" customWidth="1"/>
    <col min="13316" max="13316" width="8" style="2" customWidth="1"/>
    <col min="13317" max="13317" width="38" style="2" customWidth="1"/>
    <col min="13318" max="13318" width="48.140625" style="2" customWidth="1"/>
    <col min="13319" max="13568" width="9" style="2" customWidth="1"/>
    <col min="13569" max="13569" width="28.140625" style="2" customWidth="1"/>
    <col min="13570" max="13570" width="10" style="2" customWidth="1"/>
    <col min="13571" max="13571" width="14.42578125" style="2" customWidth="1"/>
    <col min="13572" max="13572" width="8" style="2" customWidth="1"/>
    <col min="13573" max="13573" width="38" style="2" customWidth="1"/>
    <col min="13574" max="13574" width="48.140625" style="2" customWidth="1"/>
    <col min="13575" max="13824" width="9" style="2" customWidth="1"/>
    <col min="13825" max="13825" width="28.140625" style="2" customWidth="1"/>
    <col min="13826" max="13826" width="10" style="2" customWidth="1"/>
    <col min="13827" max="13827" width="14.42578125" style="2" customWidth="1"/>
    <col min="13828" max="13828" width="8" style="2" customWidth="1"/>
    <col min="13829" max="13829" width="38" style="2" customWidth="1"/>
    <col min="13830" max="13830" width="48.140625" style="2" customWidth="1"/>
    <col min="13831" max="14080" width="9" style="2" customWidth="1"/>
    <col min="14081" max="14081" width="28.140625" style="2" customWidth="1"/>
    <col min="14082" max="14082" width="10" style="2" customWidth="1"/>
    <col min="14083" max="14083" width="14.42578125" style="2" customWidth="1"/>
    <col min="14084" max="14084" width="8" style="2" customWidth="1"/>
    <col min="14085" max="14085" width="38" style="2" customWidth="1"/>
    <col min="14086" max="14086" width="48.140625" style="2" customWidth="1"/>
    <col min="14087" max="14336" width="9" style="2" customWidth="1"/>
    <col min="14337" max="14337" width="28.140625" style="2" customWidth="1"/>
    <col min="14338" max="14338" width="10" style="2" customWidth="1"/>
    <col min="14339" max="14339" width="14.42578125" style="2" customWidth="1"/>
    <col min="14340" max="14340" width="8" style="2" customWidth="1"/>
    <col min="14341" max="14341" width="38" style="2" customWidth="1"/>
    <col min="14342" max="14342" width="48.140625" style="2" customWidth="1"/>
    <col min="14343" max="14592" width="9" style="2" customWidth="1"/>
    <col min="14593" max="14593" width="28.140625" style="2" customWidth="1"/>
    <col min="14594" max="14594" width="10" style="2" customWidth="1"/>
    <col min="14595" max="14595" width="14.42578125" style="2" customWidth="1"/>
    <col min="14596" max="14596" width="8" style="2" customWidth="1"/>
    <col min="14597" max="14597" width="38" style="2" customWidth="1"/>
    <col min="14598" max="14598" width="48.140625" style="2" customWidth="1"/>
    <col min="14599" max="14848" width="9" style="2" customWidth="1"/>
    <col min="14849" max="14849" width="28.140625" style="2" customWidth="1"/>
    <col min="14850" max="14850" width="10" style="2" customWidth="1"/>
    <col min="14851" max="14851" width="14.42578125" style="2" customWidth="1"/>
    <col min="14852" max="14852" width="8" style="2" customWidth="1"/>
    <col min="14853" max="14853" width="38" style="2" customWidth="1"/>
    <col min="14854" max="14854" width="48.140625" style="2" customWidth="1"/>
    <col min="14855" max="15104" width="9" style="2" customWidth="1"/>
    <col min="15105" max="15105" width="28.140625" style="2" customWidth="1"/>
    <col min="15106" max="15106" width="10" style="2" customWidth="1"/>
    <col min="15107" max="15107" width="14.42578125" style="2" customWidth="1"/>
    <col min="15108" max="15108" width="8" style="2" customWidth="1"/>
    <col min="15109" max="15109" width="38" style="2" customWidth="1"/>
    <col min="15110" max="15110" width="48.140625" style="2" customWidth="1"/>
    <col min="15111" max="15360" width="9" style="2" customWidth="1"/>
    <col min="15361" max="15361" width="28.140625" style="2" customWidth="1"/>
    <col min="15362" max="15362" width="10" style="2" customWidth="1"/>
    <col min="15363" max="15363" width="14.42578125" style="2" customWidth="1"/>
    <col min="15364" max="15364" width="8" style="2" customWidth="1"/>
    <col min="15365" max="15365" width="38" style="2" customWidth="1"/>
    <col min="15366" max="15366" width="48.140625" style="2" customWidth="1"/>
    <col min="15367" max="15616" width="9" style="2" customWidth="1"/>
    <col min="15617" max="15617" width="28.140625" style="2" customWidth="1"/>
    <col min="15618" max="15618" width="10" style="2" customWidth="1"/>
    <col min="15619" max="15619" width="14.42578125" style="2" customWidth="1"/>
    <col min="15620" max="15620" width="8" style="2" customWidth="1"/>
    <col min="15621" max="15621" width="38" style="2" customWidth="1"/>
    <col min="15622" max="15622" width="48.140625" style="2" customWidth="1"/>
    <col min="15623" max="15872" width="9" style="2" customWidth="1"/>
    <col min="15873" max="15873" width="28.140625" style="2" customWidth="1"/>
    <col min="15874" max="15874" width="10" style="2" customWidth="1"/>
    <col min="15875" max="15875" width="14.42578125" style="2" customWidth="1"/>
    <col min="15876" max="15876" width="8" style="2" customWidth="1"/>
    <col min="15877" max="15877" width="38" style="2" customWidth="1"/>
    <col min="15878" max="15878" width="48.140625" style="2" customWidth="1"/>
    <col min="15879" max="16128" width="9" style="2" customWidth="1"/>
    <col min="16129" max="16129" width="28.140625" style="2" customWidth="1"/>
    <col min="16130" max="16130" width="10" style="2" customWidth="1"/>
    <col min="16131" max="16131" width="14.42578125" style="2" customWidth="1"/>
    <col min="16132" max="16132" width="8" style="2" customWidth="1"/>
    <col min="16133" max="16133" width="38" style="2" customWidth="1"/>
    <col min="16134" max="16134" width="48.140625" style="2" customWidth="1"/>
    <col min="16135" max="16384" width="9" style="2" customWidth="1"/>
  </cols>
  <sheetData>
    <row r="2" spans="1:6" s="3" customFormat="1" ht="75.75" customHeight="1">
      <c r="A2" s="4"/>
      <c r="B2" s="121" t="s">
        <v>0</v>
      </c>
      <c r="C2" s="121"/>
      <c r="D2" s="121"/>
      <c r="E2" s="121"/>
      <c r="F2" s="121"/>
    </row>
    <row r="3" spans="1:6">
      <c r="A3" s="5"/>
      <c r="B3" s="6"/>
      <c r="E3" s="7"/>
    </row>
    <row r="4" spans="1:6" ht="14.25" customHeight="1">
      <c r="A4" s="8" t="s">
        <v>1</v>
      </c>
      <c r="B4" s="122" t="s">
        <v>2</v>
      </c>
      <c r="C4" s="122"/>
      <c r="D4" s="122"/>
      <c r="E4" s="8" t="s">
        <v>3</v>
      </c>
      <c r="F4" s="9" t="s">
        <v>4</v>
      </c>
    </row>
    <row r="5" spans="1:6" ht="14.25" customHeight="1">
      <c r="A5" s="8" t="s">
        <v>5</v>
      </c>
      <c r="B5" s="122" t="s">
        <v>6</v>
      </c>
      <c r="C5" s="122"/>
      <c r="D5" s="122"/>
      <c r="E5" s="8" t="s">
        <v>7</v>
      </c>
      <c r="F5" s="10">
        <v>46213</v>
      </c>
    </row>
    <row r="6" spans="1:6" ht="15.75" customHeight="1">
      <c r="A6" s="11" t="s">
        <v>8</v>
      </c>
      <c r="B6" s="123" t="s">
        <v>9</v>
      </c>
      <c r="C6" s="124"/>
      <c r="D6" s="125"/>
      <c r="E6" s="8" t="s">
        <v>10</v>
      </c>
      <c r="F6" s="12">
        <v>1.2</v>
      </c>
    </row>
    <row r="7" spans="1:6">
      <c r="A7" s="13"/>
      <c r="B7" s="14"/>
      <c r="E7" s="15"/>
      <c r="F7" s="6"/>
    </row>
    <row r="8" spans="1:6">
      <c r="A8" s="2"/>
    </row>
    <row r="9" spans="1:6" ht="25.5">
      <c r="A9" s="16" t="s">
        <v>11</v>
      </c>
      <c r="B9" s="17"/>
      <c r="C9" s="17"/>
      <c r="D9" s="17"/>
      <c r="E9" s="17"/>
      <c r="F9" s="17"/>
    </row>
    <row r="10" spans="1:6" s="18" customFormat="1">
      <c r="A10" s="19" t="s">
        <v>12</v>
      </c>
      <c r="B10" s="20" t="s">
        <v>10</v>
      </c>
      <c r="C10" s="20" t="s">
        <v>13</v>
      </c>
      <c r="D10" s="20" t="s">
        <v>14</v>
      </c>
      <c r="E10" s="20" t="s">
        <v>15</v>
      </c>
      <c r="F10" s="21" t="s">
        <v>16</v>
      </c>
    </row>
    <row r="11" spans="1:6" s="22" customFormat="1" ht="25.5" customHeight="1">
      <c r="A11" s="23">
        <v>46198</v>
      </c>
      <c r="B11" s="24" t="s">
        <v>17</v>
      </c>
      <c r="C11" s="25" t="s">
        <v>18</v>
      </c>
      <c r="D11" s="25" t="s">
        <v>19</v>
      </c>
      <c r="E11" s="26" t="s">
        <v>20</v>
      </c>
      <c r="F11" s="27" t="s">
        <v>21</v>
      </c>
    </row>
    <row r="12" spans="1:6" s="22" customFormat="1" ht="25.5" customHeight="1">
      <c r="A12" s="23">
        <v>46199</v>
      </c>
      <c r="B12" s="24" t="s">
        <v>22</v>
      </c>
      <c r="C12" s="25" t="s">
        <v>23</v>
      </c>
      <c r="D12" s="25" t="s">
        <v>24</v>
      </c>
      <c r="E12" s="25" t="s">
        <v>25</v>
      </c>
      <c r="F12" s="27" t="s">
        <v>21</v>
      </c>
    </row>
    <row r="13" spans="1:6" s="22" customFormat="1">
      <c r="A13" s="23">
        <v>46200</v>
      </c>
      <c r="B13" s="24" t="s">
        <v>26</v>
      </c>
      <c r="C13" s="25" t="s">
        <v>27</v>
      </c>
      <c r="D13" s="25" t="s">
        <v>19</v>
      </c>
      <c r="E13" s="25" t="s">
        <v>28</v>
      </c>
      <c r="F13" s="27" t="s">
        <v>21</v>
      </c>
    </row>
    <row r="14" spans="1:6" s="22" customFormat="1" ht="25.5" customHeight="1">
      <c r="A14" s="23">
        <v>46201</v>
      </c>
      <c r="B14" s="24" t="s">
        <v>29</v>
      </c>
      <c r="C14" s="25" t="s">
        <v>30</v>
      </c>
      <c r="D14" s="25" t="s">
        <v>19</v>
      </c>
      <c r="E14" s="25" t="s">
        <v>31</v>
      </c>
      <c r="F14" s="27" t="s">
        <v>21</v>
      </c>
    </row>
    <row r="15" spans="1:6" s="22" customFormat="1">
      <c r="A15" s="23">
        <v>46201</v>
      </c>
      <c r="B15" s="24" t="s">
        <v>32</v>
      </c>
      <c r="C15" s="25" t="s">
        <v>33</v>
      </c>
      <c r="D15" s="25" t="s">
        <v>19</v>
      </c>
      <c r="E15" s="25" t="s">
        <v>34</v>
      </c>
      <c r="F15" s="27" t="s">
        <v>21</v>
      </c>
    </row>
    <row r="16" spans="1:6" s="22" customFormat="1" ht="25.5" customHeight="1">
      <c r="A16" s="23">
        <v>46203</v>
      </c>
      <c r="B16" s="24" t="s">
        <v>35</v>
      </c>
      <c r="C16" s="25" t="s">
        <v>36</v>
      </c>
      <c r="D16" s="25" t="s">
        <v>24</v>
      </c>
      <c r="E16" s="25" t="s">
        <v>37</v>
      </c>
      <c r="F16" s="27" t="s">
        <v>21</v>
      </c>
    </row>
    <row r="17" spans="1:6" s="22" customFormat="1" ht="25.5" customHeight="1">
      <c r="A17" s="23">
        <v>46204</v>
      </c>
      <c r="B17" s="24" t="s">
        <v>38</v>
      </c>
      <c r="C17" s="28" t="s">
        <v>39</v>
      </c>
      <c r="D17" s="25" t="s">
        <v>24</v>
      </c>
      <c r="E17" s="28" t="s">
        <v>40</v>
      </c>
      <c r="F17" s="27" t="s">
        <v>21</v>
      </c>
    </row>
    <row r="18" spans="1:6" s="22" customFormat="1" ht="25.5">
      <c r="A18" s="23">
        <v>46205</v>
      </c>
      <c r="B18" s="24" t="s">
        <v>41</v>
      </c>
      <c r="C18" s="28" t="s">
        <v>42</v>
      </c>
      <c r="D18" s="25" t="s">
        <v>19</v>
      </c>
      <c r="E18" s="28" t="s">
        <v>43</v>
      </c>
      <c r="F18" s="27" t="s">
        <v>21</v>
      </c>
    </row>
    <row r="19" spans="1:6" s="22" customFormat="1" ht="25.5" customHeight="1">
      <c r="A19" s="23">
        <v>46212</v>
      </c>
      <c r="B19" s="24" t="s">
        <v>44</v>
      </c>
      <c r="C19" s="29" t="s">
        <v>45</v>
      </c>
      <c r="D19" s="25" t="s">
        <v>19</v>
      </c>
      <c r="E19" s="29" t="s">
        <v>46</v>
      </c>
      <c r="F19" s="27" t="s">
        <v>21</v>
      </c>
    </row>
  </sheetData>
  <mergeCells count="4">
    <mergeCell ref="B2:F2"/>
    <mergeCell ref="B4:D4"/>
    <mergeCell ref="B5:D5"/>
    <mergeCell ref="B6:D6"/>
  </mergeCells>
  <pageMargins left="0.25" right="0.25" top="0.75" bottom="0.75" header="0.3" footer="0.3"/>
  <pageSetup paperSize="9" firstPageNumber="0" orientation="landscape" horizontalDpi="300" verticalDpi="300"/>
  <headerFooter>
    <oddFooter>&amp;L&amp;"Tahoma,Regular"&amp;8 02ae-BM/PM/HDCV/FSOFT v2/1&amp;C&amp;"Tahoma,Regular"&amp;8Internal use&amp;R&amp;"tahomaTahoma,Regular"&amp;8&amp;P/&amp;N</oddFooter>
  </headerFooter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F15"/>
  <sheetViews>
    <sheetView zoomScaleNormal="100" workbookViewId="0">
      <selection activeCell="F13" sqref="F13"/>
    </sheetView>
  </sheetViews>
  <sheetFormatPr defaultColWidth="9" defaultRowHeight="12.75" customHeight="1"/>
  <cols>
    <col min="1" max="1" width="1.42578125" style="7" customWidth="1"/>
    <col min="2" max="2" width="11.7109375" style="30" customWidth="1"/>
    <col min="3" max="3" width="26.42578125" style="31" customWidth="1"/>
    <col min="4" max="4" width="17.140625" style="31" customWidth="1"/>
    <col min="5" max="5" width="28.140625" style="31" customWidth="1"/>
    <col min="6" max="6" width="30.5703125" style="31" customWidth="1"/>
    <col min="7" max="7" width="9" style="7" customWidth="1"/>
    <col min="8" max="16384" width="9" style="7"/>
  </cols>
  <sheetData>
    <row r="1" spans="2:6" ht="25.5" customHeight="1">
      <c r="B1" s="32"/>
      <c r="D1" s="33" t="s">
        <v>47</v>
      </c>
      <c r="E1" s="34"/>
    </row>
    <row r="2" spans="2:6" ht="13.5" customHeight="1">
      <c r="B2" s="32"/>
      <c r="D2" s="35"/>
      <c r="E2" s="35"/>
    </row>
    <row r="3" spans="2:6">
      <c r="B3" s="126" t="s">
        <v>1</v>
      </c>
      <c r="C3" s="126"/>
      <c r="D3" s="122" t="s">
        <v>2</v>
      </c>
      <c r="E3" s="122"/>
      <c r="F3" s="122"/>
    </row>
    <row r="4" spans="2:6">
      <c r="B4" s="126" t="s">
        <v>5</v>
      </c>
      <c r="C4" s="126"/>
      <c r="D4" s="122" t="s">
        <v>6</v>
      </c>
      <c r="E4" s="122"/>
      <c r="F4" s="122"/>
    </row>
    <row r="5" spans="2:6" s="36" customFormat="1" ht="102.75" customHeight="1">
      <c r="B5" s="127" t="s">
        <v>48</v>
      </c>
      <c r="C5" s="127"/>
      <c r="D5" s="128" t="s">
        <v>49</v>
      </c>
      <c r="E5" s="128"/>
      <c r="F5" s="128"/>
    </row>
    <row r="6" spans="2:6">
      <c r="B6" s="37"/>
      <c r="C6" s="7"/>
      <c r="D6" s="7"/>
      <c r="E6" s="7"/>
      <c r="F6" s="7"/>
    </row>
    <row r="7" spans="2:6" s="38" customFormat="1">
      <c r="B7" s="39"/>
      <c r="C7" s="40"/>
      <c r="D7" s="40"/>
      <c r="E7" s="40"/>
      <c r="F7" s="40"/>
    </row>
    <row r="8" spans="2:6" s="41" customFormat="1" ht="21" customHeight="1">
      <c r="B8" s="42" t="s">
        <v>50</v>
      </c>
      <c r="C8" s="43" t="s">
        <v>51</v>
      </c>
      <c r="D8" s="43" t="s">
        <v>52</v>
      </c>
      <c r="E8" s="44" t="s">
        <v>53</v>
      </c>
      <c r="F8" s="45" t="s">
        <v>54</v>
      </c>
    </row>
    <row r="9" spans="2:6" ht="38.25" customHeight="1">
      <c r="B9" s="46">
        <v>1</v>
      </c>
      <c r="C9" s="47" t="s">
        <v>55</v>
      </c>
      <c r="D9" s="48" t="s">
        <v>56</v>
      </c>
      <c r="E9" s="49" t="s">
        <v>57</v>
      </c>
      <c r="F9" s="49" t="s">
        <v>58</v>
      </c>
    </row>
    <row r="10" spans="2:6" ht="38.25" customHeight="1">
      <c r="B10" s="46">
        <v>2</v>
      </c>
      <c r="C10" s="47" t="s">
        <v>59</v>
      </c>
      <c r="D10" s="48" t="s">
        <v>60</v>
      </c>
      <c r="E10" s="49" t="s">
        <v>61</v>
      </c>
      <c r="F10" s="49" t="s">
        <v>62</v>
      </c>
    </row>
    <row r="11" spans="2:6" ht="38.25" customHeight="1">
      <c r="B11" s="46">
        <v>3</v>
      </c>
      <c r="C11" s="47" t="s">
        <v>63</v>
      </c>
      <c r="D11" s="48" t="s">
        <v>64</v>
      </c>
      <c r="E11" s="49" t="s">
        <v>65</v>
      </c>
      <c r="F11" s="49" t="s">
        <v>66</v>
      </c>
    </row>
    <row r="12" spans="2:6" ht="38.25" customHeight="1">
      <c r="B12" s="46">
        <v>4</v>
      </c>
      <c r="C12" s="47" t="s">
        <v>67</v>
      </c>
      <c r="D12" s="48" t="s">
        <v>68</v>
      </c>
      <c r="E12" s="49" t="s">
        <v>69</v>
      </c>
      <c r="F12" s="49" t="s">
        <v>70</v>
      </c>
    </row>
    <row r="13" spans="2:6" ht="51" customHeight="1">
      <c r="B13" s="46">
        <v>5</v>
      </c>
      <c r="C13" s="47" t="s">
        <v>71</v>
      </c>
      <c r="D13" s="48" t="s">
        <v>72</v>
      </c>
      <c r="E13" s="49" t="s">
        <v>73</v>
      </c>
      <c r="F13" s="49" t="s">
        <v>74</v>
      </c>
    </row>
    <row r="14" spans="2:6" ht="51" customHeight="1">
      <c r="B14" s="46">
        <v>6</v>
      </c>
      <c r="C14" s="47" t="s">
        <v>75</v>
      </c>
      <c r="D14" s="48" t="s">
        <v>76</v>
      </c>
      <c r="E14" s="49" t="s">
        <v>77</v>
      </c>
      <c r="F14" s="49" t="s">
        <v>78</v>
      </c>
    </row>
    <row r="15" spans="2:6">
      <c r="B15" s="50"/>
      <c r="C15" s="51"/>
      <c r="D15" s="52"/>
      <c r="E15" s="53"/>
      <c r="F15" s="54"/>
    </row>
  </sheetData>
  <mergeCells count="6">
    <mergeCell ref="B3:C3"/>
    <mergeCell ref="D3:F3"/>
    <mergeCell ref="B4:C4"/>
    <mergeCell ref="D4:F4"/>
    <mergeCell ref="B5:C5"/>
    <mergeCell ref="D5:F5"/>
  </mergeCells>
  <pageMargins left="0.74791666666666667" right="0.74791666666666667" top="0.98402777777777783" bottom="1.1506944444444445" header="0.51180555555555562" footer="0.98402777777777783"/>
  <pageSetup paperSize="9" firstPageNumber="0" orientation="landscape" horizontalDpi="300" verticalDpi="300"/>
  <headerFooter>
    <oddFooter>&amp;L&amp;"Tahoma,Regular"&amp;8 02ae-BM/PM/HDCV/FSOFT v2/0&amp;C&amp;"tahoma,Regular"&amp;8Internal use&amp;R&amp;"tahoma,Regular"&amp;8&amp;P/&amp;N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"/>
  <sheetViews>
    <sheetView zoomScale="145" zoomScaleNormal="145" workbookViewId="0">
      <selection activeCell="E16" sqref="E16"/>
    </sheetView>
  </sheetViews>
  <sheetFormatPr defaultColWidth="9" defaultRowHeight="12.75" customHeight="1"/>
  <cols>
    <col min="1" max="1" width="4.42578125" style="7" customWidth="1"/>
    <col min="2" max="2" width="15.140625" style="7" customWidth="1"/>
    <col min="3" max="3" width="22" style="7" customWidth="1"/>
    <col min="4" max="6" width="11.5703125" style="7" customWidth="1"/>
    <col min="7" max="7" width="10" style="7" customWidth="1"/>
    <col min="8" max="8" width="35.42578125" style="7" customWidth="1"/>
    <col min="9" max="9" width="33.140625" style="7" customWidth="1"/>
    <col min="10" max="10" width="9" style="7" customWidth="1"/>
    <col min="11" max="16384" width="9" style="7"/>
  </cols>
  <sheetData>
    <row r="1" spans="1:8" ht="25.5" customHeight="1">
      <c r="B1" s="129" t="s">
        <v>79</v>
      </c>
      <c r="C1" s="129"/>
      <c r="D1" s="129"/>
      <c r="E1" s="129"/>
      <c r="F1" s="129"/>
      <c r="G1" s="129"/>
      <c r="H1" s="129"/>
    </row>
    <row r="2" spans="1:8" ht="14.25" customHeight="1">
      <c r="A2" s="55"/>
      <c r="B2" s="55"/>
      <c r="H2" s="56"/>
    </row>
    <row r="3" spans="1:8" ht="12" customHeight="1">
      <c r="B3" s="57" t="s">
        <v>1</v>
      </c>
      <c r="C3" s="130" t="s">
        <v>2</v>
      </c>
      <c r="D3" s="130"/>
      <c r="E3" s="131" t="s">
        <v>3</v>
      </c>
      <c r="F3" s="131"/>
      <c r="G3" s="58" t="s">
        <v>4</v>
      </c>
      <c r="H3" s="59"/>
    </row>
    <row r="4" spans="1:8" ht="12" customHeight="1">
      <c r="B4" s="57" t="s">
        <v>5</v>
      </c>
      <c r="C4" s="130" t="s">
        <v>6</v>
      </c>
      <c r="D4" s="130"/>
      <c r="E4" s="131" t="s">
        <v>80</v>
      </c>
      <c r="F4" s="131"/>
      <c r="G4" s="58"/>
      <c r="H4" s="59"/>
    </row>
    <row r="5" spans="1:8" ht="12" customHeight="1">
      <c r="B5" s="60" t="s">
        <v>8</v>
      </c>
      <c r="C5" s="130" t="s">
        <v>81</v>
      </c>
      <c r="D5" s="130"/>
      <c r="E5" s="131" t="s">
        <v>7</v>
      </c>
      <c r="F5" s="131"/>
      <c r="G5" s="61">
        <v>46213</v>
      </c>
      <c r="H5" s="59"/>
    </row>
    <row r="6" spans="1:8" ht="21.75" customHeight="1">
      <c r="A6" s="55"/>
      <c r="B6" s="60" t="s">
        <v>82</v>
      </c>
      <c r="C6" s="132" t="s">
        <v>83</v>
      </c>
      <c r="D6" s="132"/>
      <c r="E6" s="132"/>
      <c r="F6" s="132"/>
      <c r="G6" s="132"/>
      <c r="H6" s="132"/>
    </row>
    <row r="7" spans="1:8" ht="14.25" customHeight="1">
      <c r="A7" s="55"/>
      <c r="B7" s="62"/>
      <c r="C7" s="63"/>
      <c r="H7" s="56"/>
    </row>
    <row r="8" spans="1:8">
      <c r="B8" s="62"/>
      <c r="C8" s="63"/>
      <c r="H8" s="56"/>
    </row>
    <row r="10" spans="1:8">
      <c r="A10" s="64"/>
      <c r="B10" s="65" t="s">
        <v>50</v>
      </c>
      <c r="C10" s="66" t="s">
        <v>84</v>
      </c>
      <c r="D10" s="66" t="s">
        <v>85</v>
      </c>
      <c r="E10" s="67" t="s">
        <v>86</v>
      </c>
      <c r="F10" s="67" t="s">
        <v>87</v>
      </c>
      <c r="G10" s="68" t="s">
        <v>88</v>
      </c>
      <c r="H10" s="69" t="s">
        <v>89</v>
      </c>
    </row>
    <row r="11" spans="1:8" ht="25.5">
      <c r="A11" s="64"/>
      <c r="B11" s="70">
        <v>1</v>
      </c>
      <c r="C11" s="71" t="s">
        <v>90</v>
      </c>
      <c r="D11" s="72">
        <v>13</v>
      </c>
      <c r="E11" s="72">
        <v>0</v>
      </c>
      <c r="F11" s="72">
        <v>0</v>
      </c>
      <c r="G11" s="72">
        <v>0</v>
      </c>
      <c r="H11" s="73">
        <v>13</v>
      </c>
    </row>
    <row r="12" spans="1:8">
      <c r="A12" s="64"/>
      <c r="B12" s="70">
        <v>2</v>
      </c>
      <c r="C12" s="71" t="s">
        <v>91</v>
      </c>
      <c r="D12" s="72">
        <v>12</v>
      </c>
      <c r="E12" s="72">
        <v>0</v>
      </c>
      <c r="F12" s="72">
        <v>0</v>
      </c>
      <c r="G12" s="72">
        <v>0</v>
      </c>
      <c r="H12" s="72">
        <v>12</v>
      </c>
    </row>
    <row r="13" spans="1:8" ht="25.5">
      <c r="A13" s="64"/>
      <c r="B13" s="70">
        <v>3</v>
      </c>
      <c r="C13" s="71" t="s">
        <v>92</v>
      </c>
      <c r="D13" s="72">
        <v>9</v>
      </c>
      <c r="E13" s="72">
        <v>0</v>
      </c>
      <c r="F13" s="72">
        <v>0</v>
      </c>
      <c r="G13" s="74">
        <v>0</v>
      </c>
      <c r="H13" s="74">
        <v>9</v>
      </c>
    </row>
    <row r="14" spans="1:8" ht="25.5" customHeight="1">
      <c r="A14" s="64"/>
      <c r="B14" s="70">
        <v>4</v>
      </c>
      <c r="C14" s="71" t="s">
        <v>93</v>
      </c>
      <c r="D14" s="72">
        <v>20</v>
      </c>
      <c r="E14" s="72">
        <v>0</v>
      </c>
      <c r="F14" s="72">
        <v>0</v>
      </c>
      <c r="G14" s="74">
        <v>0</v>
      </c>
      <c r="H14" s="74">
        <v>20</v>
      </c>
    </row>
    <row r="15" spans="1:8" ht="25.5" customHeight="1">
      <c r="A15" s="64"/>
      <c r="B15" s="70">
        <v>5</v>
      </c>
      <c r="C15" s="71" t="s">
        <v>94</v>
      </c>
      <c r="D15" s="72">
        <v>16</v>
      </c>
      <c r="E15" s="72">
        <v>0</v>
      </c>
      <c r="F15" s="72">
        <v>0</v>
      </c>
      <c r="G15" s="74">
        <v>0</v>
      </c>
      <c r="H15" s="74">
        <v>16</v>
      </c>
    </row>
    <row r="16" spans="1:8">
      <c r="A16" s="64"/>
      <c r="B16" s="70">
        <v>6</v>
      </c>
      <c r="C16" s="71" t="s">
        <v>95</v>
      </c>
      <c r="D16" s="72">
        <v>10</v>
      </c>
      <c r="E16" s="72">
        <v>0</v>
      </c>
      <c r="F16" s="72">
        <v>0</v>
      </c>
      <c r="G16" s="74">
        <v>2</v>
      </c>
      <c r="H16" s="73">
        <v>12</v>
      </c>
    </row>
    <row r="17" spans="1:8">
      <c r="A17" s="64"/>
      <c r="B17" s="75"/>
      <c r="C17" s="76" t="s">
        <v>96</v>
      </c>
      <c r="D17" s="77">
        <f>SUM(D11:D16)</f>
        <v>80</v>
      </c>
      <c r="E17" s="77">
        <f>SUM(E11:E16)</f>
        <v>0</v>
      </c>
      <c r="F17" s="77">
        <f>SUM(F11:F16)</f>
        <v>0</v>
      </c>
      <c r="G17" s="77">
        <f>SUM(G11:G16)</f>
        <v>2</v>
      </c>
      <c r="H17" s="78">
        <f>SUM(H11:H16)</f>
        <v>82</v>
      </c>
    </row>
    <row r="18" spans="1:8">
      <c r="B18" s="79"/>
      <c r="D18" s="80"/>
      <c r="E18" s="81"/>
      <c r="F18" s="81"/>
      <c r="G18" s="81"/>
      <c r="H18" s="81"/>
    </row>
    <row r="19" spans="1:8">
      <c r="C19" s="82" t="s">
        <v>97</v>
      </c>
      <c r="E19" s="83">
        <f>(D17+E17)*100/(H17-G17)</f>
        <v>100</v>
      </c>
      <c r="F19" s="7" t="s">
        <v>98</v>
      </c>
      <c r="H19" s="84"/>
    </row>
    <row r="20" spans="1:8">
      <c r="C20" s="82" t="s">
        <v>99</v>
      </c>
      <c r="E20" s="83">
        <f>D17*100/(H17-G17)</f>
        <v>100</v>
      </c>
      <c r="F20" s="7" t="s">
        <v>98</v>
      </c>
      <c r="H20" s="84"/>
    </row>
  </sheetData>
  <mergeCells count="8">
    <mergeCell ref="C5:D5"/>
    <mergeCell ref="E5:F5"/>
    <mergeCell ref="C6:H6"/>
    <mergeCell ref="B1:H1"/>
    <mergeCell ref="C3:D3"/>
    <mergeCell ref="E3:F3"/>
    <mergeCell ref="C4:D4"/>
    <mergeCell ref="E4:F4"/>
  </mergeCells>
  <pageMargins left="0.74791666666666667" right="0.74791666666666667" top="0.98402777777777783" bottom="0.98402777777777772" header="0.51180555555555562" footer="0.5"/>
  <pageSetup firstPageNumber="0" orientation="landscape" horizontalDpi="300" verticalDpi="300"/>
  <headerFooter>
    <oddFooter>&amp;L&amp;"Tahoma,Regular"&amp;8 02ae-BM/PM/HDCV/FSOFT v2/0&amp;C&amp;"tahoma,Regular"&amp;8Internal use&amp;R&amp;"Tahoma,Regular"&amp;8&amp;P/&amp;N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R24"/>
  <sheetViews>
    <sheetView zoomScale="85" zoomScaleNormal="85" workbookViewId="0">
      <pane ySplit="10" topLeftCell="A11" activePane="bottomLeft" state="frozen"/>
      <selection pane="bottomLeft" activeCell="A18" sqref="A18"/>
    </sheetView>
  </sheetViews>
  <sheetFormatPr defaultColWidth="9" defaultRowHeight="12.75" customHeight="1" outlineLevelRow="1" outlineLevelCol="1"/>
  <cols>
    <col min="1" max="1" width="12" style="7" customWidth="1"/>
    <col min="2" max="2" width="38" style="7" customWidth="1"/>
    <col min="3" max="3" width="42" style="7" customWidth="1"/>
    <col min="4" max="4" width="38" style="7" customWidth="1"/>
    <col min="5" max="5" width="28" style="7" customWidth="1"/>
    <col min="6" max="6" width="12" style="7" customWidth="1"/>
    <col min="7" max="7" width="14" style="7" customWidth="1" outlineLevel="1" collapsed="1"/>
    <col min="8" max="8" width="16" style="7" customWidth="1" outlineLevel="1" collapsed="1"/>
    <col min="9" max="9" width="12" style="7" customWidth="1"/>
    <col min="10" max="10" width="14" style="7" customWidth="1" outlineLevel="1" collapsed="1"/>
    <col min="11" max="11" width="16" style="7" customWidth="1" outlineLevel="1" collapsed="1"/>
    <col min="12" max="12" width="12" style="7" customWidth="1"/>
    <col min="13" max="13" width="14" style="7" customWidth="1" outlineLevel="1" collapsed="1"/>
    <col min="14" max="14" width="16" style="7" customWidth="1" outlineLevel="1" collapsed="1"/>
    <col min="15" max="15" width="15" style="7" customWidth="1"/>
    <col min="16" max="16" width="10.140625" style="7" customWidth="1"/>
    <col min="17" max="17" width="8.140625" style="85" customWidth="1"/>
    <col min="18" max="18" width="7.5703125" style="7" hidden="1" customWidth="1"/>
    <col min="19" max="19" width="9" style="7" customWidth="1"/>
    <col min="20" max="16384" width="9" style="7"/>
  </cols>
  <sheetData>
    <row r="1" spans="1:18" ht="13.5" customHeight="1"/>
    <row r="2" spans="1:18" s="86" customFormat="1" ht="15" customHeight="1">
      <c r="A2" s="87" t="s">
        <v>100</v>
      </c>
      <c r="B2" s="119" t="s">
        <v>56</v>
      </c>
      <c r="C2" s="133"/>
      <c r="D2" s="133"/>
      <c r="E2" s="134"/>
      <c r="F2" s="88"/>
      <c r="G2" s="89"/>
      <c r="H2" s="36"/>
      <c r="I2" s="88"/>
      <c r="J2" s="89"/>
      <c r="K2" s="36"/>
      <c r="L2" s="88"/>
      <c r="M2" s="89"/>
      <c r="N2" s="36"/>
      <c r="O2" s="36"/>
      <c r="P2" s="36"/>
      <c r="Q2" s="90"/>
      <c r="R2" s="86" t="s">
        <v>85</v>
      </c>
    </row>
    <row r="3" spans="1:18" s="86" customFormat="1" ht="12.75" customHeight="1">
      <c r="A3" s="91" t="s">
        <v>101</v>
      </c>
      <c r="B3" s="119" t="s">
        <v>102</v>
      </c>
      <c r="C3" s="133"/>
      <c r="D3" s="133"/>
      <c r="E3" s="134"/>
      <c r="F3" s="88"/>
      <c r="G3" s="89"/>
      <c r="H3" s="36"/>
      <c r="I3" s="88"/>
      <c r="J3" s="89"/>
      <c r="K3" s="36"/>
      <c r="L3" s="88"/>
      <c r="M3" s="89"/>
      <c r="N3" s="36"/>
      <c r="O3" s="36"/>
      <c r="P3" s="36"/>
      <c r="Q3" s="90"/>
      <c r="R3" s="86" t="s">
        <v>86</v>
      </c>
    </row>
    <row r="4" spans="1:18" s="86" customFormat="1" ht="18" customHeight="1">
      <c r="A4" s="91" t="s">
        <v>103</v>
      </c>
      <c r="B4" s="120">
        <f>COUNTA(A12:A991)</f>
        <v>13</v>
      </c>
      <c r="C4" s="120"/>
      <c r="D4" s="120"/>
      <c r="E4" s="135"/>
      <c r="F4" s="88"/>
      <c r="G4" s="89"/>
      <c r="H4" s="36"/>
      <c r="I4" s="88"/>
      <c r="J4" s="89"/>
      <c r="K4" s="36"/>
      <c r="L4" s="88"/>
      <c r="M4" s="89"/>
      <c r="N4" s="36"/>
      <c r="O4" s="36"/>
      <c r="P4" s="36"/>
      <c r="Q4" s="90"/>
      <c r="R4" s="86" t="s">
        <v>87</v>
      </c>
    </row>
    <row r="5" spans="1:18" s="86" customFormat="1" ht="19.5" customHeight="1">
      <c r="A5" s="92" t="s">
        <v>104</v>
      </c>
      <c r="B5" s="93" t="s">
        <v>85</v>
      </c>
      <c r="C5" s="93" t="s">
        <v>86</v>
      </c>
      <c r="D5" s="93" t="s">
        <v>87</v>
      </c>
      <c r="E5" s="94" t="s">
        <v>88</v>
      </c>
      <c r="F5" s="95"/>
      <c r="G5" s="95"/>
      <c r="H5" s="96"/>
      <c r="I5" s="95"/>
      <c r="J5" s="95"/>
      <c r="K5" s="96"/>
      <c r="L5" s="95"/>
      <c r="M5" s="95"/>
      <c r="N5" s="96"/>
      <c r="O5" s="96"/>
      <c r="P5" s="96"/>
      <c r="Q5" s="97"/>
      <c r="R5" s="86" t="s">
        <v>88</v>
      </c>
    </row>
    <row r="6" spans="1:18" s="86" customFormat="1" ht="15" customHeight="1">
      <c r="A6" s="92" t="s">
        <v>105</v>
      </c>
      <c r="B6" s="98">
        <f>COUNTIF($F$12:$F$990,B5)</f>
        <v>12</v>
      </c>
      <c r="C6" s="98">
        <f>COUNTIF($F$12:$F$990,C5)</f>
        <v>1</v>
      </c>
      <c r="D6" s="98">
        <f>COUNTIF($F$12:$F$990,D5)</f>
        <v>0</v>
      </c>
      <c r="E6" s="99">
        <f>COUNTIF($F$12:$F$990,E5)</f>
        <v>0</v>
      </c>
      <c r="F6" s="100"/>
      <c r="G6" s="100"/>
      <c r="H6" s="96"/>
      <c r="I6" s="100"/>
      <c r="J6" s="100"/>
      <c r="K6" s="96"/>
      <c r="L6" s="100"/>
      <c r="M6" s="100"/>
      <c r="N6" s="96"/>
      <c r="O6" s="96"/>
      <c r="P6" s="96"/>
      <c r="Q6" s="97"/>
    </row>
    <row r="7" spans="1:18" s="86" customFormat="1" ht="15" customHeight="1">
      <c r="A7" s="92" t="s">
        <v>106</v>
      </c>
      <c r="B7" s="98">
        <f>COUNTIF($I$12:$I$990,B5)</f>
        <v>1</v>
      </c>
      <c r="C7" s="98">
        <f>COUNTIF($I$12:$I$990,C5)</f>
        <v>0</v>
      </c>
      <c r="D7" s="98">
        <f>COUNTIF($I$12:$I$990,D5)</f>
        <v>0</v>
      </c>
      <c r="E7" s="99">
        <f>COUNTIF($I$12:$I$990,E5)</f>
        <v>12</v>
      </c>
      <c r="F7" s="100"/>
      <c r="G7" s="100"/>
      <c r="H7" s="96"/>
      <c r="I7" s="100"/>
      <c r="J7" s="100"/>
      <c r="K7" s="96"/>
      <c r="L7" s="100"/>
      <c r="M7" s="100"/>
      <c r="N7" s="96"/>
      <c r="O7" s="96"/>
      <c r="P7" s="96"/>
      <c r="Q7" s="97"/>
    </row>
    <row r="8" spans="1:18" s="86" customFormat="1" ht="15" customHeight="1">
      <c r="A8" s="101" t="s">
        <v>107</v>
      </c>
      <c r="B8" s="102">
        <f>COUNTIF($L$12:$L$990,B5)</f>
        <v>0</v>
      </c>
      <c r="C8" s="102">
        <f>COUNTIF($L$12:$L$990,C5)</f>
        <v>0</v>
      </c>
      <c r="D8" s="102">
        <f>COUNTIF($L$12:$L$990,D5)</f>
        <v>0</v>
      </c>
      <c r="E8" s="103">
        <f>COUNTIF($L$12:$L$990,E5)</f>
        <v>13</v>
      </c>
      <c r="F8" s="100"/>
      <c r="G8" s="100"/>
      <c r="H8" s="96"/>
      <c r="I8" s="100"/>
      <c r="J8" s="100"/>
      <c r="K8" s="96"/>
      <c r="L8" s="100"/>
      <c r="M8" s="100"/>
      <c r="N8" s="96"/>
      <c r="O8" s="96"/>
      <c r="P8" s="96"/>
      <c r="Q8" s="97"/>
    </row>
    <row r="9" spans="1:18" s="86" customFormat="1" ht="15" customHeight="1">
      <c r="A9" s="96"/>
      <c r="B9" s="96"/>
      <c r="C9" s="96"/>
      <c r="D9" s="96"/>
      <c r="E9" s="96"/>
      <c r="F9" s="84"/>
      <c r="G9" s="96"/>
      <c r="H9" s="96"/>
      <c r="I9" s="84"/>
      <c r="J9" s="96"/>
      <c r="K9" s="96"/>
      <c r="L9" s="84"/>
      <c r="M9" s="96"/>
      <c r="N9" s="96"/>
      <c r="O9" s="96"/>
      <c r="P9" s="96"/>
      <c r="Q9" s="97"/>
    </row>
    <row r="10" spans="1:18" s="86" customFormat="1" ht="25.5" customHeight="1">
      <c r="A10" s="104" t="s">
        <v>108</v>
      </c>
      <c r="B10" s="104" t="s">
        <v>109</v>
      </c>
      <c r="C10" s="104" t="s">
        <v>110</v>
      </c>
      <c r="D10" s="104" t="s">
        <v>111</v>
      </c>
      <c r="E10" s="104" t="s">
        <v>112</v>
      </c>
      <c r="F10" s="104" t="s">
        <v>105</v>
      </c>
      <c r="G10" s="104" t="s">
        <v>113</v>
      </c>
      <c r="H10" s="104" t="s">
        <v>114</v>
      </c>
      <c r="I10" s="104" t="s">
        <v>106</v>
      </c>
      <c r="J10" s="104" t="s">
        <v>113</v>
      </c>
      <c r="K10" s="104" t="s">
        <v>114</v>
      </c>
      <c r="L10" s="104" t="s">
        <v>107</v>
      </c>
      <c r="M10" s="104" t="s">
        <v>113</v>
      </c>
      <c r="N10" s="104" t="s">
        <v>114</v>
      </c>
      <c r="O10" s="104" t="s">
        <v>115</v>
      </c>
      <c r="Q10" s="105"/>
    </row>
    <row r="11" spans="1:18" s="86" customFormat="1" ht="15.75" customHeight="1">
      <c r="A11" s="106" t="s">
        <v>56</v>
      </c>
      <c r="B11" s="106"/>
      <c r="C11" s="107"/>
      <c r="D11" s="107"/>
      <c r="E11" s="107"/>
      <c r="F11" s="108"/>
      <c r="G11" s="108"/>
      <c r="H11" s="108"/>
      <c r="I11" s="108"/>
      <c r="J11" s="108"/>
      <c r="K11" s="108"/>
      <c r="L11" s="108"/>
      <c r="M11" s="108"/>
      <c r="N11" s="108"/>
      <c r="O11" s="109"/>
      <c r="Q11" s="110"/>
    </row>
    <row r="12" spans="1:18" s="111" customFormat="1" ht="75" customHeight="1" outlineLevel="1" collapsed="1">
      <c r="A12" s="112" t="s">
        <v>116</v>
      </c>
      <c r="B12" s="113" t="s">
        <v>117</v>
      </c>
      <c r="C12" s="113" t="s">
        <v>118</v>
      </c>
      <c r="D12" s="113" t="s">
        <v>119</v>
      </c>
      <c r="E12" s="113" t="s">
        <v>120</v>
      </c>
      <c r="F12" s="114" t="s">
        <v>85</v>
      </c>
      <c r="G12" s="115">
        <v>46212</v>
      </c>
      <c r="H12" s="116" t="s">
        <v>4</v>
      </c>
      <c r="I12" s="117" t="s">
        <v>88</v>
      </c>
      <c r="J12" s="116"/>
      <c r="K12" s="116"/>
      <c r="L12" s="117" t="s">
        <v>88</v>
      </c>
      <c r="M12" s="116"/>
      <c r="N12" s="116"/>
      <c r="O12" s="113" t="s">
        <v>121</v>
      </c>
    </row>
    <row r="13" spans="1:18" ht="60" customHeight="1" outlineLevel="1" collapsed="1">
      <c r="A13" s="112" t="s">
        <v>122</v>
      </c>
      <c r="B13" s="113" t="s">
        <v>123</v>
      </c>
      <c r="C13" s="113" t="s">
        <v>124</v>
      </c>
      <c r="D13" s="113" t="s">
        <v>125</v>
      </c>
      <c r="E13" s="113" t="s">
        <v>126</v>
      </c>
      <c r="F13" s="114" t="s">
        <v>85</v>
      </c>
      <c r="G13" s="115">
        <v>46212</v>
      </c>
      <c r="H13" s="116" t="s">
        <v>4</v>
      </c>
      <c r="I13" s="117" t="s">
        <v>88</v>
      </c>
      <c r="J13" s="116"/>
      <c r="K13" s="116"/>
      <c r="L13" s="117" t="s">
        <v>88</v>
      </c>
      <c r="M13" s="116"/>
      <c r="N13" s="116"/>
      <c r="O13" s="113" t="s">
        <v>121</v>
      </c>
    </row>
    <row r="14" spans="1:18" ht="60" customHeight="1" outlineLevel="1" collapsed="1">
      <c r="A14" s="112" t="s">
        <v>127</v>
      </c>
      <c r="B14" s="113" t="s">
        <v>128</v>
      </c>
      <c r="C14" s="113" t="s">
        <v>129</v>
      </c>
      <c r="D14" s="113" t="s">
        <v>130</v>
      </c>
      <c r="E14" s="113" t="s">
        <v>131</v>
      </c>
      <c r="F14" s="114" t="s">
        <v>85</v>
      </c>
      <c r="G14" s="115">
        <v>46212</v>
      </c>
      <c r="H14" s="116" t="s">
        <v>4</v>
      </c>
      <c r="I14" s="117" t="s">
        <v>88</v>
      </c>
      <c r="J14" s="116"/>
      <c r="K14" s="116"/>
      <c r="L14" s="117" t="s">
        <v>88</v>
      </c>
      <c r="M14" s="116"/>
      <c r="N14" s="116"/>
      <c r="O14" s="113" t="s">
        <v>121</v>
      </c>
    </row>
    <row r="15" spans="1:18" s="86" customFormat="1" ht="60" customHeight="1">
      <c r="A15" s="112" t="s">
        <v>132</v>
      </c>
      <c r="B15" s="113" t="s">
        <v>133</v>
      </c>
      <c r="C15" s="113" t="s">
        <v>134</v>
      </c>
      <c r="D15" s="113" t="s">
        <v>135</v>
      </c>
      <c r="E15" s="113" t="s">
        <v>131</v>
      </c>
      <c r="F15" s="114" t="s">
        <v>85</v>
      </c>
      <c r="G15" s="115">
        <v>46212</v>
      </c>
      <c r="H15" s="116" t="s">
        <v>4</v>
      </c>
      <c r="I15" s="117" t="s">
        <v>88</v>
      </c>
      <c r="J15" s="116"/>
      <c r="K15" s="116"/>
      <c r="L15" s="117" t="s">
        <v>88</v>
      </c>
      <c r="M15" s="116"/>
      <c r="N15" s="116"/>
      <c r="O15" s="113" t="s">
        <v>121</v>
      </c>
    </row>
    <row r="16" spans="1:18" ht="60" customHeight="1" outlineLevel="1" collapsed="1">
      <c r="A16" s="112" t="s">
        <v>136</v>
      </c>
      <c r="B16" s="113" t="s">
        <v>137</v>
      </c>
      <c r="C16" s="113" t="s">
        <v>138</v>
      </c>
      <c r="D16" s="113" t="s">
        <v>139</v>
      </c>
      <c r="E16" s="113" t="s">
        <v>140</v>
      </c>
      <c r="F16" s="114" t="s">
        <v>85</v>
      </c>
      <c r="G16" s="115">
        <v>46212</v>
      </c>
      <c r="H16" s="116" t="s">
        <v>4</v>
      </c>
      <c r="I16" s="117" t="s">
        <v>88</v>
      </c>
      <c r="J16" s="116"/>
      <c r="K16" s="116"/>
      <c r="L16" s="117" t="s">
        <v>88</v>
      </c>
      <c r="M16" s="116"/>
      <c r="N16" s="116"/>
      <c r="O16" s="113" t="s">
        <v>121</v>
      </c>
    </row>
    <row r="17" spans="1:15" ht="45" customHeight="1" outlineLevel="1" collapsed="1">
      <c r="A17" s="112" t="s">
        <v>141</v>
      </c>
      <c r="B17" s="113" t="s">
        <v>142</v>
      </c>
      <c r="C17" s="113" t="s">
        <v>143</v>
      </c>
      <c r="D17" s="113" t="s">
        <v>144</v>
      </c>
      <c r="E17" s="113" t="s">
        <v>145</v>
      </c>
      <c r="F17" s="114" t="s">
        <v>85</v>
      </c>
      <c r="G17" s="115">
        <v>46212</v>
      </c>
      <c r="H17" s="116" t="s">
        <v>4</v>
      </c>
      <c r="I17" s="117" t="s">
        <v>88</v>
      </c>
      <c r="J17" s="116"/>
      <c r="K17" s="116"/>
      <c r="L17" s="117" t="s">
        <v>88</v>
      </c>
      <c r="M17" s="116"/>
      <c r="N17" s="116"/>
      <c r="O17" s="113" t="s">
        <v>121</v>
      </c>
    </row>
    <row r="18" spans="1:15" ht="45" customHeight="1">
      <c r="A18" s="112" t="s">
        <v>146</v>
      </c>
      <c r="B18" s="113" t="s">
        <v>147</v>
      </c>
      <c r="C18" s="113" t="s">
        <v>148</v>
      </c>
      <c r="D18" s="113" t="s">
        <v>149</v>
      </c>
      <c r="E18" s="113" t="s">
        <v>150</v>
      </c>
      <c r="F18" s="114" t="s">
        <v>85</v>
      </c>
      <c r="G18" s="115">
        <v>46212</v>
      </c>
      <c r="H18" s="116" t="s">
        <v>4</v>
      </c>
      <c r="I18" s="117" t="s">
        <v>88</v>
      </c>
      <c r="J18" s="116"/>
      <c r="K18" s="116"/>
      <c r="L18" s="117" t="s">
        <v>88</v>
      </c>
      <c r="M18" s="116"/>
      <c r="N18" s="116"/>
      <c r="O18" s="113" t="s">
        <v>121</v>
      </c>
    </row>
    <row r="19" spans="1:15" ht="60" customHeight="1">
      <c r="A19" s="112" t="s">
        <v>151</v>
      </c>
      <c r="B19" s="113" t="s">
        <v>152</v>
      </c>
      <c r="C19" s="113" t="s">
        <v>153</v>
      </c>
      <c r="D19" s="113" t="s">
        <v>154</v>
      </c>
      <c r="E19" s="113" t="s">
        <v>140</v>
      </c>
      <c r="F19" s="114" t="s">
        <v>85</v>
      </c>
      <c r="G19" s="115">
        <v>46212</v>
      </c>
      <c r="H19" s="116" t="s">
        <v>4</v>
      </c>
      <c r="I19" s="117" t="s">
        <v>88</v>
      </c>
      <c r="J19" s="116"/>
      <c r="K19" s="116"/>
      <c r="L19" s="117" t="s">
        <v>88</v>
      </c>
      <c r="M19" s="116"/>
      <c r="N19" s="116"/>
      <c r="O19" s="113" t="s">
        <v>121</v>
      </c>
    </row>
    <row r="20" spans="1:15" ht="60" customHeight="1">
      <c r="A20" s="112" t="s">
        <v>155</v>
      </c>
      <c r="B20" s="113" t="s">
        <v>156</v>
      </c>
      <c r="C20" s="113" t="s">
        <v>157</v>
      </c>
      <c r="D20" s="113" t="s">
        <v>158</v>
      </c>
      <c r="E20" s="113" t="s">
        <v>159</v>
      </c>
      <c r="F20" s="114" t="s">
        <v>85</v>
      </c>
      <c r="G20" s="115">
        <v>46212</v>
      </c>
      <c r="H20" s="116" t="s">
        <v>4</v>
      </c>
      <c r="I20" s="117" t="s">
        <v>88</v>
      </c>
      <c r="J20" s="116"/>
      <c r="K20" s="116"/>
      <c r="L20" s="117" t="s">
        <v>88</v>
      </c>
      <c r="M20" s="116"/>
      <c r="N20" s="116"/>
      <c r="O20" s="113" t="s">
        <v>121</v>
      </c>
    </row>
    <row r="21" spans="1:15" ht="60" customHeight="1">
      <c r="A21" s="112" t="s">
        <v>160</v>
      </c>
      <c r="B21" s="113" t="s">
        <v>161</v>
      </c>
      <c r="C21" s="113" t="s">
        <v>162</v>
      </c>
      <c r="D21" s="113" t="s">
        <v>163</v>
      </c>
      <c r="E21" s="113" t="s">
        <v>164</v>
      </c>
      <c r="F21" s="114" t="s">
        <v>85</v>
      </c>
      <c r="G21" s="115">
        <v>46212</v>
      </c>
      <c r="H21" s="116" t="s">
        <v>4</v>
      </c>
      <c r="I21" s="117" t="s">
        <v>88</v>
      </c>
      <c r="J21" s="116"/>
      <c r="K21" s="116"/>
      <c r="L21" s="117" t="s">
        <v>88</v>
      </c>
      <c r="M21" s="116"/>
      <c r="N21" s="116"/>
      <c r="O21" s="113" t="s">
        <v>121</v>
      </c>
    </row>
    <row r="22" spans="1:15" ht="60" customHeight="1">
      <c r="A22" s="112" t="s">
        <v>165</v>
      </c>
      <c r="B22" s="113" t="s">
        <v>166</v>
      </c>
      <c r="C22" s="113" t="s">
        <v>167</v>
      </c>
      <c r="D22" s="113" t="s">
        <v>168</v>
      </c>
      <c r="E22" s="113" t="s">
        <v>169</v>
      </c>
      <c r="F22" s="114" t="s">
        <v>85</v>
      </c>
      <c r="G22" s="115">
        <v>46212</v>
      </c>
      <c r="H22" s="116" t="s">
        <v>4</v>
      </c>
      <c r="I22" s="117" t="s">
        <v>88</v>
      </c>
      <c r="J22" s="116"/>
      <c r="K22" s="116"/>
      <c r="L22" s="117" t="s">
        <v>88</v>
      </c>
      <c r="M22" s="116"/>
      <c r="N22" s="116"/>
      <c r="O22" s="113" t="s">
        <v>121</v>
      </c>
    </row>
    <row r="23" spans="1:15" ht="75" customHeight="1">
      <c r="A23" s="112" t="s">
        <v>170</v>
      </c>
      <c r="B23" s="113" t="s">
        <v>171</v>
      </c>
      <c r="C23" s="113" t="s">
        <v>172</v>
      </c>
      <c r="D23" s="113" t="s">
        <v>173</v>
      </c>
      <c r="E23" s="113" t="s">
        <v>174</v>
      </c>
      <c r="F23" s="118" t="s">
        <v>86</v>
      </c>
      <c r="G23" s="115">
        <v>46212</v>
      </c>
      <c r="H23" s="116" t="s">
        <v>4</v>
      </c>
      <c r="I23" s="114" t="s">
        <v>85</v>
      </c>
      <c r="J23" s="115">
        <v>46213</v>
      </c>
      <c r="K23" s="116" t="s">
        <v>4</v>
      </c>
      <c r="L23" s="117" t="s">
        <v>88</v>
      </c>
      <c r="M23" s="116"/>
      <c r="N23" s="116"/>
      <c r="O23" s="113" t="s">
        <v>121</v>
      </c>
    </row>
    <row r="24" spans="1:15" ht="60" customHeight="1">
      <c r="A24" s="112" t="s">
        <v>175</v>
      </c>
      <c r="B24" s="113" t="s">
        <v>176</v>
      </c>
      <c r="C24" s="113" t="s">
        <v>177</v>
      </c>
      <c r="D24" s="113" t="s">
        <v>178</v>
      </c>
      <c r="E24" s="113" t="s">
        <v>179</v>
      </c>
      <c r="F24" s="114" t="s">
        <v>85</v>
      </c>
      <c r="G24" s="115">
        <v>46212</v>
      </c>
      <c r="H24" s="116" t="s">
        <v>4</v>
      </c>
      <c r="I24" s="117" t="s">
        <v>88</v>
      </c>
      <c r="J24" s="116"/>
      <c r="K24" s="116"/>
      <c r="L24" s="117" t="s">
        <v>88</v>
      </c>
      <c r="M24" s="116"/>
      <c r="N24" s="116"/>
      <c r="O24" s="113" t="s">
        <v>121</v>
      </c>
    </row>
  </sheetData>
  <mergeCells count="3">
    <mergeCell ref="B2:E2"/>
    <mergeCell ref="B3:E3"/>
    <mergeCell ref="B4:E4"/>
  </mergeCells>
  <dataValidations count="2">
    <dataValidation showErrorMessage="1" sqref="F10 L10 I10" xr:uid="{00000000-0002-0000-0300-000000000000}"/>
    <dataValidation type="list" allowBlank="1" showErrorMessage="1" sqref="F12:F19 M9 M2:M3 M20:M145 L12:L19 J9 J2:J3 J20:J145 I12:I19 G9 G2:G3 G20:G145" xr:uid="{00000000-0002-0000-0300-000001000000}">
      <formula1>$R$2:$R$5</formula1>
      <formula2>0</formula2>
    </dataValidation>
  </dataValidations>
  <pageMargins left="0.74791666666666667" right="0.25" top="0.75" bottom="0.98402777777777772" header="0.5" footer="0.5"/>
  <pageSetup paperSize="9" firstPageNumber="0" orientation="landscape" horizontalDpi="300" verticalDpi="300"/>
  <headerFooter>
    <oddHeader>&amp;LFacilitate_Test Case\Company&amp;Rv1.0</oddHeader>
    <oddFooter>&amp;L&amp;"Tahoma,Regular"&amp;8 02ae-BM/PM/HDCV/FSOFT v2/0&amp;C&amp;"Tahoma,Regular"&amp;10Internal use&amp;R&amp;"Tahoma,Regular"&amp;8&amp;P/&amp;N</oddFooter>
  </headerFooter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R24"/>
  <sheetViews>
    <sheetView topLeftCell="A4" workbookViewId="0"/>
  </sheetViews>
  <sheetFormatPr defaultColWidth="9" defaultRowHeight="12.75" customHeight="1"/>
  <cols>
    <col min="1" max="1" width="12" style="7" customWidth="1"/>
    <col min="2" max="2" width="38" style="7" customWidth="1"/>
    <col min="3" max="3" width="42" style="7" customWidth="1"/>
    <col min="4" max="4" width="38" style="7" customWidth="1"/>
    <col min="5" max="5" width="28" style="7" customWidth="1"/>
    <col min="6" max="6" width="12" style="7" customWidth="1"/>
    <col min="7" max="7" width="14" style="7" customWidth="1"/>
    <col min="8" max="8" width="16" style="7" customWidth="1"/>
    <col min="9" max="9" width="12" style="7" customWidth="1"/>
    <col min="10" max="10" width="14" style="7" customWidth="1"/>
    <col min="11" max="11" width="16" style="7" customWidth="1"/>
    <col min="12" max="12" width="12" style="7" customWidth="1"/>
    <col min="13" max="13" width="14" style="7" customWidth="1"/>
    <col min="14" max="14" width="16" style="7" customWidth="1"/>
    <col min="15" max="15" width="15" style="7" customWidth="1"/>
    <col min="16" max="16" width="10.140625" style="7" customWidth="1"/>
    <col min="17" max="17" width="8.140625" style="85" customWidth="1"/>
    <col min="18" max="18" width="7.5703125" style="7" customWidth="1"/>
    <col min="19" max="19" width="9" style="7" customWidth="1"/>
    <col min="20" max="16384" width="9" style="7"/>
  </cols>
  <sheetData>
    <row r="1" spans="1:18" ht="13.5" customHeight="1"/>
    <row r="2" spans="1:18" ht="15" customHeight="1">
      <c r="A2" s="87" t="s">
        <v>100</v>
      </c>
      <c r="B2" s="119" t="s">
        <v>60</v>
      </c>
      <c r="C2" s="119"/>
      <c r="D2" s="119"/>
      <c r="E2" s="119"/>
      <c r="F2" s="88"/>
      <c r="G2" s="89"/>
      <c r="H2" s="36"/>
      <c r="I2" s="88"/>
      <c r="J2" s="89"/>
      <c r="K2" s="36"/>
      <c r="L2" s="88"/>
      <c r="M2" s="89"/>
      <c r="N2" s="36"/>
      <c r="O2" s="36"/>
      <c r="P2" s="36"/>
      <c r="Q2" s="90"/>
      <c r="R2" s="86" t="s">
        <v>85</v>
      </c>
    </row>
    <row r="3" spans="1:18" ht="12.75" customHeight="1">
      <c r="A3" s="91" t="s">
        <v>101</v>
      </c>
      <c r="B3" s="119" t="s">
        <v>180</v>
      </c>
      <c r="C3" s="119"/>
      <c r="D3" s="119"/>
      <c r="E3" s="119"/>
      <c r="F3" s="88"/>
      <c r="G3" s="89"/>
      <c r="H3" s="36"/>
      <c r="I3" s="88"/>
      <c r="J3" s="89"/>
      <c r="K3" s="36"/>
      <c r="L3" s="88"/>
      <c r="M3" s="89"/>
      <c r="N3" s="36"/>
      <c r="O3" s="36"/>
      <c r="P3" s="36"/>
      <c r="Q3" s="90"/>
      <c r="R3" s="86" t="s">
        <v>86</v>
      </c>
    </row>
    <row r="4" spans="1:18" ht="18" customHeight="1">
      <c r="A4" s="91" t="s">
        <v>103</v>
      </c>
      <c r="B4" s="120">
        <f>COUNTA(A12:A991)</f>
        <v>12</v>
      </c>
      <c r="C4" s="120"/>
      <c r="D4" s="120"/>
      <c r="E4" s="120"/>
      <c r="F4" s="88"/>
      <c r="G4" s="89"/>
      <c r="H4" s="36"/>
      <c r="I4" s="88"/>
      <c r="J4" s="89"/>
      <c r="K4" s="36"/>
      <c r="L4" s="88"/>
      <c r="M4" s="89"/>
      <c r="N4" s="36"/>
      <c r="O4" s="36"/>
      <c r="P4" s="36"/>
      <c r="Q4" s="90"/>
      <c r="R4" s="86" t="s">
        <v>87</v>
      </c>
    </row>
    <row r="5" spans="1:18" ht="19.5" customHeight="1">
      <c r="A5" s="92" t="s">
        <v>104</v>
      </c>
      <c r="B5" s="93" t="s">
        <v>85</v>
      </c>
      <c r="C5" s="93" t="s">
        <v>86</v>
      </c>
      <c r="D5" s="93" t="s">
        <v>87</v>
      </c>
      <c r="E5" s="94" t="s">
        <v>88</v>
      </c>
      <c r="F5" s="95"/>
      <c r="G5" s="95"/>
      <c r="H5" s="96"/>
      <c r="I5" s="95"/>
      <c r="J5" s="95"/>
      <c r="K5" s="96"/>
      <c r="L5" s="95"/>
      <c r="M5" s="95"/>
      <c r="N5" s="96"/>
      <c r="O5" s="96"/>
      <c r="P5" s="96"/>
      <c r="Q5" s="97"/>
      <c r="R5" s="86" t="s">
        <v>88</v>
      </c>
    </row>
    <row r="6" spans="1:18" ht="15" customHeight="1">
      <c r="A6" s="92" t="s">
        <v>105</v>
      </c>
      <c r="B6" s="98">
        <f>COUNTIF($F$12:$F$990,B5)</f>
        <v>12</v>
      </c>
      <c r="C6" s="98">
        <f>COUNTIF($F$12:$F$990,C5)</f>
        <v>0</v>
      </c>
      <c r="D6" s="98">
        <f>COUNTIF($F$12:$F$990,D5)</f>
        <v>0</v>
      </c>
      <c r="E6" s="99">
        <f>COUNTIF($F$12:$F$990,E5)</f>
        <v>0</v>
      </c>
      <c r="F6" s="100"/>
      <c r="G6" s="100"/>
      <c r="H6" s="96"/>
      <c r="I6" s="100"/>
      <c r="J6" s="100"/>
      <c r="K6" s="96"/>
      <c r="L6" s="100"/>
      <c r="M6" s="100"/>
      <c r="N6" s="96"/>
      <c r="O6" s="96"/>
      <c r="P6" s="96"/>
      <c r="Q6" s="97"/>
    </row>
    <row r="7" spans="1:18" ht="15" customHeight="1">
      <c r="A7" s="92" t="s">
        <v>106</v>
      </c>
      <c r="B7" s="98">
        <f>COUNTIF($I$12:$I$990,B5)</f>
        <v>0</v>
      </c>
      <c r="C7" s="98">
        <f>COUNTIF($I$12:$I$990,C5)</f>
        <v>0</v>
      </c>
      <c r="D7" s="98">
        <f>COUNTIF($I$12:$I$990,D5)</f>
        <v>0</v>
      </c>
      <c r="E7" s="99">
        <f>COUNTIF($I$12:$I$990,E5)</f>
        <v>12</v>
      </c>
      <c r="F7" s="100"/>
      <c r="G7" s="100"/>
      <c r="H7" s="96"/>
      <c r="I7" s="100"/>
      <c r="J7" s="100"/>
      <c r="K7" s="96"/>
      <c r="L7" s="100"/>
      <c r="M7" s="100"/>
      <c r="N7" s="96"/>
      <c r="O7" s="96"/>
      <c r="P7" s="96"/>
      <c r="Q7" s="97"/>
    </row>
    <row r="8" spans="1:18" ht="15" customHeight="1">
      <c r="A8" s="101" t="s">
        <v>107</v>
      </c>
      <c r="B8" s="102">
        <f>COUNTIF($L$12:$L$990,B5)</f>
        <v>0</v>
      </c>
      <c r="C8" s="102">
        <f>COUNTIF($L$12:$L$990,C5)</f>
        <v>0</v>
      </c>
      <c r="D8" s="102">
        <f>COUNTIF($L$12:$L$990,D5)</f>
        <v>0</v>
      </c>
      <c r="E8" s="103">
        <f>COUNTIF($L$12:$L$990,E5)</f>
        <v>12</v>
      </c>
      <c r="F8" s="100"/>
      <c r="G8" s="100"/>
      <c r="H8" s="96"/>
      <c r="I8" s="100"/>
      <c r="J8" s="100"/>
      <c r="K8" s="96"/>
      <c r="L8" s="100"/>
      <c r="M8" s="100"/>
      <c r="N8" s="96"/>
      <c r="O8" s="96"/>
      <c r="P8" s="96"/>
      <c r="Q8" s="97"/>
    </row>
    <row r="9" spans="1:18" ht="15" customHeight="1">
      <c r="A9" s="96"/>
      <c r="B9" s="96"/>
      <c r="C9" s="96"/>
      <c r="D9" s="96"/>
      <c r="E9" s="96"/>
      <c r="F9" s="84"/>
      <c r="G9" s="96"/>
      <c r="H9" s="96"/>
      <c r="I9" s="84"/>
      <c r="J9" s="96"/>
      <c r="K9" s="96"/>
      <c r="L9" s="84"/>
      <c r="M9" s="96"/>
      <c r="N9" s="96"/>
      <c r="O9" s="96"/>
      <c r="P9" s="96"/>
      <c r="Q9" s="97"/>
    </row>
    <row r="10" spans="1:18" ht="25.5" customHeight="1">
      <c r="A10" s="104" t="s">
        <v>108</v>
      </c>
      <c r="B10" s="104" t="s">
        <v>109</v>
      </c>
      <c r="C10" s="104" t="s">
        <v>110</v>
      </c>
      <c r="D10" s="104" t="s">
        <v>111</v>
      </c>
      <c r="E10" s="104" t="s">
        <v>112</v>
      </c>
      <c r="F10" s="104" t="s">
        <v>105</v>
      </c>
      <c r="G10" s="104" t="s">
        <v>113</v>
      </c>
      <c r="H10" s="104" t="s">
        <v>114</v>
      </c>
      <c r="I10" s="104" t="s">
        <v>106</v>
      </c>
      <c r="J10" s="104" t="s">
        <v>113</v>
      </c>
      <c r="K10" s="104" t="s">
        <v>114</v>
      </c>
      <c r="L10" s="104" t="s">
        <v>107</v>
      </c>
      <c r="M10" s="104" t="s">
        <v>113</v>
      </c>
      <c r="N10" s="104" t="s">
        <v>114</v>
      </c>
      <c r="O10" s="104" t="s">
        <v>115</v>
      </c>
      <c r="P10" s="86"/>
      <c r="Q10" s="105"/>
    </row>
    <row r="11" spans="1:18" ht="15.75" customHeight="1">
      <c r="A11" s="106" t="s">
        <v>56</v>
      </c>
      <c r="B11" s="106"/>
      <c r="C11" s="107"/>
      <c r="D11" s="107"/>
      <c r="E11" s="107"/>
      <c r="F11" s="108"/>
      <c r="G11" s="108"/>
      <c r="H11" s="108"/>
      <c r="I11" s="108"/>
      <c r="J11" s="108"/>
      <c r="K11" s="108"/>
      <c r="L11" s="108"/>
      <c r="M11" s="108"/>
      <c r="N11" s="108"/>
      <c r="O11" s="109"/>
      <c r="P11" s="86"/>
      <c r="Q11" s="110"/>
    </row>
    <row r="12" spans="1:18" ht="45" customHeight="1">
      <c r="A12" s="112" t="s">
        <v>181</v>
      </c>
      <c r="B12" s="113" t="s">
        <v>182</v>
      </c>
      <c r="C12" s="113" t="s">
        <v>183</v>
      </c>
      <c r="D12" s="113" t="s">
        <v>184</v>
      </c>
      <c r="E12" s="113" t="s">
        <v>185</v>
      </c>
      <c r="F12" s="114" t="s">
        <v>85</v>
      </c>
      <c r="G12" s="115">
        <v>46212</v>
      </c>
      <c r="H12" s="116" t="s">
        <v>4</v>
      </c>
      <c r="I12" s="117" t="s">
        <v>88</v>
      </c>
      <c r="J12" s="116"/>
      <c r="K12" s="116"/>
      <c r="L12" s="117" t="s">
        <v>88</v>
      </c>
      <c r="M12" s="116"/>
      <c r="N12" s="116"/>
      <c r="O12" s="113" t="s">
        <v>121</v>
      </c>
    </row>
    <row r="13" spans="1:18" ht="60" customHeight="1">
      <c r="A13" s="112" t="s">
        <v>186</v>
      </c>
      <c r="B13" s="113" t="s">
        <v>187</v>
      </c>
      <c r="C13" s="113" t="s">
        <v>188</v>
      </c>
      <c r="D13" s="113" t="s">
        <v>189</v>
      </c>
      <c r="E13" s="113" t="s">
        <v>190</v>
      </c>
      <c r="F13" s="114" t="s">
        <v>85</v>
      </c>
      <c r="G13" s="115">
        <v>46212</v>
      </c>
      <c r="H13" s="116" t="s">
        <v>4</v>
      </c>
      <c r="I13" s="117" t="s">
        <v>88</v>
      </c>
      <c r="J13" s="116"/>
      <c r="K13" s="116"/>
      <c r="L13" s="117" t="s">
        <v>88</v>
      </c>
      <c r="M13" s="116"/>
      <c r="N13" s="116"/>
      <c r="O13" s="113" t="s">
        <v>121</v>
      </c>
    </row>
    <row r="14" spans="1:18" ht="45" customHeight="1">
      <c r="A14" s="112" t="s">
        <v>191</v>
      </c>
      <c r="B14" s="113" t="s">
        <v>192</v>
      </c>
      <c r="C14" s="113" t="s">
        <v>193</v>
      </c>
      <c r="D14" s="113" t="s">
        <v>194</v>
      </c>
      <c r="E14" s="113" t="s">
        <v>190</v>
      </c>
      <c r="F14" s="114" t="s">
        <v>85</v>
      </c>
      <c r="G14" s="115">
        <v>46212</v>
      </c>
      <c r="H14" s="116" t="s">
        <v>4</v>
      </c>
      <c r="I14" s="117" t="s">
        <v>88</v>
      </c>
      <c r="J14" s="116"/>
      <c r="K14" s="116"/>
      <c r="L14" s="117" t="s">
        <v>88</v>
      </c>
      <c r="M14" s="116"/>
      <c r="N14" s="116"/>
      <c r="O14" s="113" t="s">
        <v>121</v>
      </c>
    </row>
    <row r="15" spans="1:18" ht="60" customHeight="1">
      <c r="A15" s="112" t="s">
        <v>195</v>
      </c>
      <c r="B15" s="113" t="s">
        <v>196</v>
      </c>
      <c r="C15" s="113" t="s">
        <v>197</v>
      </c>
      <c r="D15" s="113" t="s">
        <v>198</v>
      </c>
      <c r="E15" s="113" t="s">
        <v>199</v>
      </c>
      <c r="F15" s="114" t="s">
        <v>85</v>
      </c>
      <c r="G15" s="115">
        <v>46212</v>
      </c>
      <c r="H15" s="116" t="s">
        <v>4</v>
      </c>
      <c r="I15" s="117" t="s">
        <v>88</v>
      </c>
      <c r="J15" s="116"/>
      <c r="K15" s="116"/>
      <c r="L15" s="117" t="s">
        <v>88</v>
      </c>
      <c r="M15" s="116"/>
      <c r="N15" s="116"/>
      <c r="O15" s="113" t="s">
        <v>121</v>
      </c>
    </row>
    <row r="16" spans="1:18" ht="60" customHeight="1">
      <c r="A16" s="112" t="s">
        <v>200</v>
      </c>
      <c r="B16" s="113" t="s">
        <v>201</v>
      </c>
      <c r="C16" s="113" t="s">
        <v>202</v>
      </c>
      <c r="D16" s="113" t="s">
        <v>203</v>
      </c>
      <c r="E16" s="113" t="s">
        <v>199</v>
      </c>
      <c r="F16" s="114" t="s">
        <v>85</v>
      </c>
      <c r="G16" s="115">
        <v>46212</v>
      </c>
      <c r="H16" s="116" t="s">
        <v>4</v>
      </c>
      <c r="I16" s="117" t="s">
        <v>88</v>
      </c>
      <c r="J16" s="116"/>
      <c r="K16" s="116"/>
      <c r="L16" s="117" t="s">
        <v>88</v>
      </c>
      <c r="M16" s="116"/>
      <c r="N16" s="116"/>
      <c r="O16" s="113" t="s">
        <v>121</v>
      </c>
    </row>
    <row r="17" spans="1:15" ht="45" customHeight="1">
      <c r="A17" s="112" t="s">
        <v>204</v>
      </c>
      <c r="B17" s="113" t="s">
        <v>205</v>
      </c>
      <c r="C17" s="113" t="s">
        <v>206</v>
      </c>
      <c r="D17" s="113" t="s">
        <v>207</v>
      </c>
      <c r="E17" s="113" t="s">
        <v>179</v>
      </c>
      <c r="F17" s="114" t="s">
        <v>85</v>
      </c>
      <c r="G17" s="115">
        <v>46212</v>
      </c>
      <c r="H17" s="116" t="s">
        <v>4</v>
      </c>
      <c r="I17" s="117" t="s">
        <v>88</v>
      </c>
      <c r="J17" s="116"/>
      <c r="K17" s="116"/>
      <c r="L17" s="117" t="s">
        <v>88</v>
      </c>
      <c r="M17" s="116"/>
      <c r="N17" s="116"/>
      <c r="O17" s="113" t="s">
        <v>121</v>
      </c>
    </row>
    <row r="18" spans="1:15" ht="45" customHeight="1">
      <c r="A18" s="112" t="s">
        <v>208</v>
      </c>
      <c r="B18" s="113" t="s">
        <v>209</v>
      </c>
      <c r="C18" s="113" t="s">
        <v>210</v>
      </c>
      <c r="D18" s="113" t="s">
        <v>211</v>
      </c>
      <c r="E18" s="113" t="s">
        <v>212</v>
      </c>
      <c r="F18" s="114" t="s">
        <v>85</v>
      </c>
      <c r="G18" s="115">
        <v>46212</v>
      </c>
      <c r="H18" s="116" t="s">
        <v>4</v>
      </c>
      <c r="I18" s="117" t="s">
        <v>88</v>
      </c>
      <c r="J18" s="116"/>
      <c r="K18" s="116"/>
      <c r="L18" s="117" t="s">
        <v>88</v>
      </c>
      <c r="M18" s="116"/>
      <c r="N18" s="116"/>
      <c r="O18" s="113" t="s">
        <v>121</v>
      </c>
    </row>
    <row r="19" spans="1:15" ht="60" customHeight="1">
      <c r="A19" s="112" t="s">
        <v>213</v>
      </c>
      <c r="B19" s="113" t="s">
        <v>214</v>
      </c>
      <c r="C19" s="113" t="s">
        <v>215</v>
      </c>
      <c r="D19" s="113" t="s">
        <v>216</v>
      </c>
      <c r="E19" s="113" t="s">
        <v>217</v>
      </c>
      <c r="F19" s="114" t="s">
        <v>85</v>
      </c>
      <c r="G19" s="115">
        <v>46212</v>
      </c>
      <c r="H19" s="116" t="s">
        <v>4</v>
      </c>
      <c r="I19" s="117" t="s">
        <v>88</v>
      </c>
      <c r="J19" s="116"/>
      <c r="K19" s="116"/>
      <c r="L19" s="117" t="s">
        <v>88</v>
      </c>
      <c r="M19" s="116"/>
      <c r="N19" s="116"/>
      <c r="O19" s="113" t="s">
        <v>121</v>
      </c>
    </row>
    <row r="20" spans="1:15" ht="60" customHeight="1">
      <c r="A20" s="112" t="s">
        <v>218</v>
      </c>
      <c r="B20" s="113" t="s">
        <v>219</v>
      </c>
      <c r="C20" s="113" t="s">
        <v>220</v>
      </c>
      <c r="D20" s="113" t="s">
        <v>221</v>
      </c>
      <c r="E20" s="113" t="s">
        <v>179</v>
      </c>
      <c r="F20" s="114" t="s">
        <v>85</v>
      </c>
      <c r="G20" s="115">
        <v>46212</v>
      </c>
      <c r="H20" s="116" t="s">
        <v>4</v>
      </c>
      <c r="I20" s="117" t="s">
        <v>88</v>
      </c>
      <c r="J20" s="116"/>
      <c r="K20" s="116"/>
      <c r="L20" s="117" t="s">
        <v>88</v>
      </c>
      <c r="M20" s="116"/>
      <c r="N20" s="116"/>
      <c r="O20" s="113" t="s">
        <v>121</v>
      </c>
    </row>
    <row r="21" spans="1:15" ht="60" customHeight="1">
      <c r="A21" s="112" t="s">
        <v>222</v>
      </c>
      <c r="B21" s="113" t="s">
        <v>223</v>
      </c>
      <c r="C21" s="113" t="s">
        <v>224</v>
      </c>
      <c r="D21" s="113" t="s">
        <v>225</v>
      </c>
      <c r="E21" s="113" t="s">
        <v>226</v>
      </c>
      <c r="F21" s="114" t="s">
        <v>85</v>
      </c>
      <c r="G21" s="115">
        <v>46212</v>
      </c>
      <c r="H21" s="116" t="s">
        <v>4</v>
      </c>
      <c r="I21" s="117" t="s">
        <v>88</v>
      </c>
      <c r="J21" s="116"/>
      <c r="K21" s="116"/>
      <c r="L21" s="117" t="s">
        <v>88</v>
      </c>
      <c r="M21" s="116"/>
      <c r="N21" s="116"/>
      <c r="O21" s="113" t="s">
        <v>121</v>
      </c>
    </row>
    <row r="22" spans="1:15" ht="45" customHeight="1">
      <c r="A22" s="112" t="s">
        <v>227</v>
      </c>
      <c r="B22" s="113" t="s">
        <v>228</v>
      </c>
      <c r="C22" s="113" t="s">
        <v>229</v>
      </c>
      <c r="D22" s="113" t="s">
        <v>230</v>
      </c>
      <c r="E22" s="113" t="s">
        <v>231</v>
      </c>
      <c r="F22" s="114" t="s">
        <v>85</v>
      </c>
      <c r="G22" s="115">
        <v>46212</v>
      </c>
      <c r="H22" s="116" t="s">
        <v>4</v>
      </c>
      <c r="I22" s="117" t="s">
        <v>88</v>
      </c>
      <c r="J22" s="116"/>
      <c r="K22" s="116"/>
      <c r="L22" s="117" t="s">
        <v>88</v>
      </c>
      <c r="M22" s="116"/>
      <c r="N22" s="116"/>
      <c r="O22" s="113" t="s">
        <v>121</v>
      </c>
    </row>
    <row r="23" spans="1:15" ht="60" customHeight="1">
      <c r="A23" s="112" t="s">
        <v>232</v>
      </c>
      <c r="B23" s="113" t="s">
        <v>233</v>
      </c>
      <c r="C23" s="113" t="s">
        <v>234</v>
      </c>
      <c r="D23" s="113" t="s">
        <v>235</v>
      </c>
      <c r="E23" s="113" t="s">
        <v>236</v>
      </c>
      <c r="F23" s="114" t="s">
        <v>85</v>
      </c>
      <c r="G23" s="115">
        <v>46212</v>
      </c>
      <c r="H23" s="116" t="s">
        <v>4</v>
      </c>
      <c r="I23" s="117" t="s">
        <v>88</v>
      </c>
      <c r="J23" s="116"/>
      <c r="K23" s="116"/>
      <c r="L23" s="117" t="s">
        <v>88</v>
      </c>
      <c r="M23" s="116"/>
      <c r="N23" s="116"/>
      <c r="O23" s="113" t="s">
        <v>121</v>
      </c>
    </row>
    <row r="24" spans="1:15" ht="60" customHeight="1"/>
  </sheetData>
  <mergeCells count="3">
    <mergeCell ref="B2:E2"/>
    <mergeCell ref="B3:E3"/>
    <mergeCell ref="B4:E4"/>
  </mergeCells>
  <pageMargins left="0.74791666666666667" right="0.25" top="0.75" bottom="0.98402777777777772" header="0.5" footer="0.5"/>
  <pageSetup paperSize="9" firstPageNumber="0"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R24"/>
  <sheetViews>
    <sheetView workbookViewId="0"/>
  </sheetViews>
  <sheetFormatPr defaultColWidth="9" defaultRowHeight="12.75" customHeight="1"/>
  <cols>
    <col min="1" max="1" width="12" style="7" customWidth="1"/>
    <col min="2" max="2" width="38" style="7" customWidth="1"/>
    <col min="3" max="3" width="42" style="7" customWidth="1"/>
    <col min="4" max="4" width="38" style="7" customWidth="1"/>
    <col min="5" max="5" width="28" style="7" customWidth="1"/>
    <col min="6" max="6" width="12" style="7" customWidth="1"/>
    <col min="7" max="7" width="14" style="7" customWidth="1"/>
    <col min="8" max="8" width="16" style="7" customWidth="1"/>
    <col min="9" max="9" width="12" style="7" customWidth="1"/>
    <col min="10" max="10" width="14" style="7" customWidth="1"/>
    <col min="11" max="11" width="16" style="7" customWidth="1"/>
    <col min="12" max="12" width="12" style="7" customWidth="1"/>
    <col min="13" max="13" width="14" style="7" customWidth="1"/>
    <col min="14" max="14" width="16" style="7" customWidth="1"/>
    <col min="15" max="15" width="15" style="7" customWidth="1"/>
    <col min="16" max="16" width="10.140625" style="7" customWidth="1"/>
    <col min="17" max="17" width="8.140625" style="85" customWidth="1"/>
    <col min="18" max="18" width="7.5703125" style="7" customWidth="1"/>
    <col min="19" max="19" width="9" style="7" customWidth="1"/>
    <col min="20" max="16384" width="9" style="7"/>
  </cols>
  <sheetData>
    <row r="1" spans="1:18" ht="13.5" customHeight="1"/>
    <row r="2" spans="1:18" ht="15" customHeight="1">
      <c r="A2" s="87" t="s">
        <v>100</v>
      </c>
      <c r="B2" s="119" t="s">
        <v>64</v>
      </c>
      <c r="C2" s="119"/>
      <c r="D2" s="119"/>
      <c r="E2" s="119"/>
      <c r="F2" s="88"/>
      <c r="G2" s="89"/>
      <c r="H2" s="36"/>
      <c r="I2" s="88"/>
      <c r="J2" s="89"/>
      <c r="K2" s="36"/>
      <c r="L2" s="88"/>
      <c r="M2" s="89"/>
      <c r="N2" s="36"/>
      <c r="O2" s="36"/>
      <c r="P2" s="36"/>
      <c r="Q2" s="90"/>
      <c r="R2" s="86" t="s">
        <v>85</v>
      </c>
    </row>
    <row r="3" spans="1:18" ht="12.75" customHeight="1">
      <c r="A3" s="91" t="s">
        <v>101</v>
      </c>
      <c r="B3" s="119" t="s">
        <v>237</v>
      </c>
      <c r="C3" s="119"/>
      <c r="D3" s="119"/>
      <c r="E3" s="119"/>
      <c r="F3" s="88"/>
      <c r="G3" s="89"/>
      <c r="H3" s="36"/>
      <c r="I3" s="88"/>
      <c r="J3" s="89"/>
      <c r="K3" s="36"/>
      <c r="L3" s="88"/>
      <c r="M3" s="89"/>
      <c r="N3" s="36"/>
      <c r="O3" s="36"/>
      <c r="P3" s="36"/>
      <c r="Q3" s="90"/>
      <c r="R3" s="86" t="s">
        <v>86</v>
      </c>
    </row>
    <row r="4" spans="1:18" ht="18" customHeight="1">
      <c r="A4" s="91" t="s">
        <v>103</v>
      </c>
      <c r="B4" s="120">
        <f>COUNTA(A12:A991)</f>
        <v>9</v>
      </c>
      <c r="C4" s="120"/>
      <c r="D4" s="120"/>
      <c r="E4" s="120"/>
      <c r="F4" s="88"/>
      <c r="G4" s="89"/>
      <c r="H4" s="36"/>
      <c r="I4" s="88"/>
      <c r="J4" s="89"/>
      <c r="K4" s="36"/>
      <c r="L4" s="88"/>
      <c r="M4" s="89"/>
      <c r="N4" s="36"/>
      <c r="O4" s="36"/>
      <c r="P4" s="36"/>
      <c r="Q4" s="90"/>
      <c r="R4" s="86" t="s">
        <v>87</v>
      </c>
    </row>
    <row r="5" spans="1:18" ht="19.5" customHeight="1">
      <c r="A5" s="92" t="s">
        <v>104</v>
      </c>
      <c r="B5" s="93" t="s">
        <v>85</v>
      </c>
      <c r="C5" s="93" t="s">
        <v>86</v>
      </c>
      <c r="D5" s="93" t="s">
        <v>87</v>
      </c>
      <c r="E5" s="94" t="s">
        <v>88</v>
      </c>
      <c r="F5" s="95"/>
      <c r="G5" s="95"/>
      <c r="H5" s="96"/>
      <c r="I5" s="95"/>
      <c r="J5" s="95"/>
      <c r="K5" s="96"/>
      <c r="L5" s="95"/>
      <c r="M5" s="95"/>
      <c r="N5" s="96"/>
      <c r="O5" s="96"/>
      <c r="P5" s="96"/>
      <c r="Q5" s="97"/>
      <c r="R5" s="86" t="s">
        <v>88</v>
      </c>
    </row>
    <row r="6" spans="1:18" ht="15" customHeight="1">
      <c r="A6" s="92" t="s">
        <v>105</v>
      </c>
      <c r="B6" s="98">
        <f>COUNTIF($F$12:$F$990,B5)</f>
        <v>9</v>
      </c>
      <c r="C6" s="98">
        <f>COUNTIF($F$12:$F$990,C5)</f>
        <v>0</v>
      </c>
      <c r="D6" s="98">
        <f>COUNTIF($F$12:$F$990,D5)</f>
        <v>0</v>
      </c>
      <c r="E6" s="99">
        <f>COUNTIF($F$12:$F$990,E5)</f>
        <v>0</v>
      </c>
      <c r="F6" s="100"/>
      <c r="G6" s="100"/>
      <c r="H6" s="96"/>
      <c r="I6" s="100"/>
      <c r="J6" s="100"/>
      <c r="K6" s="96"/>
      <c r="L6" s="100"/>
      <c r="M6" s="100"/>
      <c r="N6" s="96"/>
      <c r="O6" s="96"/>
      <c r="P6" s="96"/>
      <c r="Q6" s="97"/>
    </row>
    <row r="7" spans="1:18" ht="15" customHeight="1">
      <c r="A7" s="92" t="s">
        <v>106</v>
      </c>
      <c r="B7" s="98">
        <f>COUNTIF($I$12:$I$990,B5)</f>
        <v>0</v>
      </c>
      <c r="C7" s="98">
        <f>COUNTIF($I$12:$I$990,C5)</f>
        <v>0</v>
      </c>
      <c r="D7" s="98">
        <f>COUNTIF($I$12:$I$990,D5)</f>
        <v>0</v>
      </c>
      <c r="E7" s="99">
        <f>COUNTIF($I$12:$I$990,E5)</f>
        <v>9</v>
      </c>
      <c r="F7" s="100"/>
      <c r="G7" s="100"/>
      <c r="H7" s="96"/>
      <c r="I7" s="100"/>
      <c r="J7" s="100"/>
      <c r="K7" s="96"/>
      <c r="L7" s="100"/>
      <c r="M7" s="100"/>
      <c r="N7" s="96"/>
      <c r="O7" s="96"/>
      <c r="P7" s="96"/>
      <c r="Q7" s="97"/>
    </row>
    <row r="8" spans="1:18" ht="15" customHeight="1">
      <c r="A8" s="101" t="s">
        <v>107</v>
      </c>
      <c r="B8" s="102">
        <f>COUNTIF($L$12:$L$990,B5)</f>
        <v>0</v>
      </c>
      <c r="C8" s="102">
        <f>COUNTIF($L$12:$L$990,C5)</f>
        <v>0</v>
      </c>
      <c r="D8" s="102">
        <f>COUNTIF($L$12:$L$990,D5)</f>
        <v>0</v>
      </c>
      <c r="E8" s="103">
        <f>COUNTIF($L$12:$L$990,E5)</f>
        <v>9</v>
      </c>
      <c r="F8" s="100"/>
      <c r="G8" s="100"/>
      <c r="H8" s="96"/>
      <c r="I8" s="100"/>
      <c r="J8" s="100"/>
      <c r="K8" s="96"/>
      <c r="L8" s="100"/>
      <c r="M8" s="100"/>
      <c r="N8" s="96"/>
      <c r="O8" s="96"/>
      <c r="P8" s="96"/>
      <c r="Q8" s="97"/>
    </row>
    <row r="9" spans="1:18" ht="15" customHeight="1">
      <c r="A9" s="96"/>
      <c r="B9" s="96"/>
      <c r="C9" s="96"/>
      <c r="D9" s="96"/>
      <c r="E9" s="96"/>
      <c r="F9" s="84"/>
      <c r="G9" s="96"/>
      <c r="H9" s="96"/>
      <c r="I9" s="84"/>
      <c r="J9" s="96"/>
      <c r="K9" s="96"/>
      <c r="L9" s="84"/>
      <c r="M9" s="96"/>
      <c r="N9" s="96"/>
      <c r="O9" s="96"/>
      <c r="P9" s="96"/>
      <c r="Q9" s="97"/>
    </row>
    <row r="10" spans="1:18" ht="25.5" customHeight="1">
      <c r="A10" s="104" t="s">
        <v>108</v>
      </c>
      <c r="B10" s="104" t="s">
        <v>109</v>
      </c>
      <c r="C10" s="104" t="s">
        <v>110</v>
      </c>
      <c r="D10" s="104" t="s">
        <v>111</v>
      </c>
      <c r="E10" s="104" t="s">
        <v>112</v>
      </c>
      <c r="F10" s="104" t="s">
        <v>105</v>
      </c>
      <c r="G10" s="104" t="s">
        <v>113</v>
      </c>
      <c r="H10" s="104" t="s">
        <v>114</v>
      </c>
      <c r="I10" s="104" t="s">
        <v>106</v>
      </c>
      <c r="J10" s="104" t="s">
        <v>113</v>
      </c>
      <c r="K10" s="104" t="s">
        <v>114</v>
      </c>
      <c r="L10" s="104" t="s">
        <v>107</v>
      </c>
      <c r="M10" s="104" t="s">
        <v>113</v>
      </c>
      <c r="N10" s="104" t="s">
        <v>114</v>
      </c>
      <c r="O10" s="104" t="s">
        <v>115</v>
      </c>
      <c r="P10" s="86"/>
      <c r="Q10" s="105"/>
    </row>
    <row r="11" spans="1:18" ht="15.75" customHeight="1">
      <c r="A11" s="106" t="s">
        <v>56</v>
      </c>
      <c r="B11" s="106"/>
      <c r="C11" s="107"/>
      <c r="D11" s="107"/>
      <c r="E11" s="107"/>
      <c r="F11" s="108"/>
      <c r="G11" s="108"/>
      <c r="H11" s="108"/>
      <c r="I11" s="108"/>
      <c r="J11" s="108"/>
      <c r="K11" s="108"/>
      <c r="L11" s="108"/>
      <c r="M11" s="108"/>
      <c r="N11" s="108"/>
      <c r="O11" s="109"/>
      <c r="P11" s="86"/>
      <c r="Q11" s="110"/>
    </row>
    <row r="12" spans="1:18" ht="60" customHeight="1">
      <c r="A12" s="112" t="s">
        <v>238</v>
      </c>
      <c r="B12" s="113" t="s">
        <v>239</v>
      </c>
      <c r="C12" s="113" t="s">
        <v>240</v>
      </c>
      <c r="D12" s="113" t="s">
        <v>241</v>
      </c>
      <c r="E12" s="113" t="s">
        <v>242</v>
      </c>
      <c r="F12" s="114" t="s">
        <v>85</v>
      </c>
      <c r="G12" s="115">
        <v>46212</v>
      </c>
      <c r="H12" s="116" t="s">
        <v>4</v>
      </c>
      <c r="I12" s="117" t="s">
        <v>88</v>
      </c>
      <c r="J12" s="116"/>
      <c r="K12" s="116"/>
      <c r="L12" s="117" t="s">
        <v>88</v>
      </c>
      <c r="M12" s="116"/>
      <c r="N12" s="116"/>
      <c r="O12" s="113" t="s">
        <v>121</v>
      </c>
    </row>
    <row r="13" spans="1:18" ht="60" customHeight="1">
      <c r="A13" s="112" t="s">
        <v>243</v>
      </c>
      <c r="B13" s="113" t="s">
        <v>244</v>
      </c>
      <c r="C13" s="113" t="s">
        <v>245</v>
      </c>
      <c r="D13" s="113" t="s">
        <v>246</v>
      </c>
      <c r="E13" s="113" t="s">
        <v>247</v>
      </c>
      <c r="F13" s="114" t="s">
        <v>85</v>
      </c>
      <c r="G13" s="115">
        <v>46212</v>
      </c>
      <c r="H13" s="116" t="s">
        <v>4</v>
      </c>
      <c r="I13" s="117" t="s">
        <v>88</v>
      </c>
      <c r="J13" s="116"/>
      <c r="K13" s="116"/>
      <c r="L13" s="117" t="s">
        <v>88</v>
      </c>
      <c r="M13" s="116"/>
      <c r="N13" s="116"/>
      <c r="O13" s="113" t="s">
        <v>121</v>
      </c>
    </row>
    <row r="14" spans="1:18" ht="60" customHeight="1">
      <c r="A14" s="112" t="s">
        <v>248</v>
      </c>
      <c r="B14" s="113" t="s">
        <v>249</v>
      </c>
      <c r="C14" s="113" t="s">
        <v>250</v>
      </c>
      <c r="D14" s="113" t="s">
        <v>251</v>
      </c>
      <c r="E14" s="113" t="s">
        <v>252</v>
      </c>
      <c r="F14" s="114" t="s">
        <v>85</v>
      </c>
      <c r="G14" s="115">
        <v>46212</v>
      </c>
      <c r="H14" s="116" t="s">
        <v>4</v>
      </c>
      <c r="I14" s="117" t="s">
        <v>88</v>
      </c>
      <c r="J14" s="116"/>
      <c r="K14" s="116"/>
      <c r="L14" s="117" t="s">
        <v>88</v>
      </c>
      <c r="M14" s="116"/>
      <c r="N14" s="116"/>
      <c r="O14" s="113" t="s">
        <v>121</v>
      </c>
    </row>
    <row r="15" spans="1:18" ht="45" customHeight="1">
      <c r="A15" s="112" t="s">
        <v>253</v>
      </c>
      <c r="B15" s="113" t="s">
        <v>254</v>
      </c>
      <c r="C15" s="113" t="s">
        <v>255</v>
      </c>
      <c r="D15" s="113" t="s">
        <v>256</v>
      </c>
      <c r="E15" s="113" t="s">
        <v>257</v>
      </c>
      <c r="F15" s="114" t="s">
        <v>85</v>
      </c>
      <c r="G15" s="115">
        <v>46212</v>
      </c>
      <c r="H15" s="116" t="s">
        <v>4</v>
      </c>
      <c r="I15" s="117" t="s">
        <v>88</v>
      </c>
      <c r="J15" s="116"/>
      <c r="K15" s="116"/>
      <c r="L15" s="117" t="s">
        <v>88</v>
      </c>
      <c r="M15" s="116"/>
      <c r="N15" s="116"/>
      <c r="O15" s="113" t="s">
        <v>121</v>
      </c>
    </row>
    <row r="16" spans="1:18" ht="60" customHeight="1">
      <c r="A16" s="112" t="s">
        <v>258</v>
      </c>
      <c r="B16" s="113" t="s">
        <v>259</v>
      </c>
      <c r="C16" s="113" t="s">
        <v>260</v>
      </c>
      <c r="D16" s="113" t="s">
        <v>261</v>
      </c>
      <c r="E16" s="113" t="s">
        <v>262</v>
      </c>
      <c r="F16" s="114" t="s">
        <v>85</v>
      </c>
      <c r="G16" s="115">
        <v>46212</v>
      </c>
      <c r="H16" s="116" t="s">
        <v>4</v>
      </c>
      <c r="I16" s="117" t="s">
        <v>88</v>
      </c>
      <c r="J16" s="116"/>
      <c r="K16" s="116"/>
      <c r="L16" s="117" t="s">
        <v>88</v>
      </c>
      <c r="M16" s="116"/>
      <c r="N16" s="116"/>
      <c r="O16" s="113" t="s">
        <v>121</v>
      </c>
    </row>
    <row r="17" spans="1:15" ht="60" customHeight="1">
      <c r="A17" s="112" t="s">
        <v>263</v>
      </c>
      <c r="B17" s="113" t="s">
        <v>264</v>
      </c>
      <c r="C17" s="113" t="s">
        <v>260</v>
      </c>
      <c r="D17" s="113" t="s">
        <v>265</v>
      </c>
      <c r="E17" s="113" t="s">
        <v>262</v>
      </c>
      <c r="F17" s="114" t="s">
        <v>85</v>
      </c>
      <c r="G17" s="115">
        <v>46212</v>
      </c>
      <c r="H17" s="116" t="s">
        <v>4</v>
      </c>
      <c r="I17" s="117" t="s">
        <v>88</v>
      </c>
      <c r="J17" s="116"/>
      <c r="K17" s="116"/>
      <c r="L17" s="117" t="s">
        <v>88</v>
      </c>
      <c r="M17" s="116"/>
      <c r="N17" s="116"/>
      <c r="O17" s="113" t="s">
        <v>121</v>
      </c>
    </row>
    <row r="18" spans="1:15" ht="60" customHeight="1">
      <c r="A18" s="112" t="s">
        <v>266</v>
      </c>
      <c r="B18" s="113" t="s">
        <v>267</v>
      </c>
      <c r="C18" s="113" t="s">
        <v>260</v>
      </c>
      <c r="D18" s="113" t="s">
        <v>268</v>
      </c>
      <c r="E18" s="113" t="s">
        <v>262</v>
      </c>
      <c r="F18" s="114" t="s">
        <v>85</v>
      </c>
      <c r="G18" s="115">
        <v>46212</v>
      </c>
      <c r="H18" s="116" t="s">
        <v>4</v>
      </c>
      <c r="I18" s="117" t="s">
        <v>88</v>
      </c>
      <c r="J18" s="116"/>
      <c r="K18" s="116"/>
      <c r="L18" s="117" t="s">
        <v>88</v>
      </c>
      <c r="M18" s="116"/>
      <c r="N18" s="116"/>
      <c r="O18" s="113" t="s">
        <v>121</v>
      </c>
    </row>
    <row r="19" spans="1:15" ht="60" customHeight="1">
      <c r="A19" s="112" t="s">
        <v>269</v>
      </c>
      <c r="B19" s="113" t="s">
        <v>270</v>
      </c>
      <c r="C19" s="113" t="s">
        <v>271</v>
      </c>
      <c r="D19" s="113" t="s">
        <v>272</v>
      </c>
      <c r="E19" s="113" t="s">
        <v>273</v>
      </c>
      <c r="F19" s="114" t="s">
        <v>85</v>
      </c>
      <c r="G19" s="115">
        <v>46212</v>
      </c>
      <c r="H19" s="116" t="s">
        <v>4</v>
      </c>
      <c r="I19" s="117" t="s">
        <v>88</v>
      </c>
      <c r="J19" s="116"/>
      <c r="K19" s="116"/>
      <c r="L19" s="117" t="s">
        <v>88</v>
      </c>
      <c r="M19" s="116"/>
      <c r="N19" s="116"/>
      <c r="O19" s="113" t="s">
        <v>121</v>
      </c>
    </row>
    <row r="20" spans="1:15" ht="60" customHeight="1">
      <c r="A20" s="112" t="s">
        <v>274</v>
      </c>
      <c r="B20" s="113" t="s">
        <v>275</v>
      </c>
      <c r="C20" s="113" t="s">
        <v>276</v>
      </c>
      <c r="D20" s="113" t="s">
        <v>277</v>
      </c>
      <c r="E20" s="113" t="s">
        <v>278</v>
      </c>
      <c r="F20" s="114" t="s">
        <v>85</v>
      </c>
      <c r="G20" s="115">
        <v>46212</v>
      </c>
      <c r="H20" s="116" t="s">
        <v>4</v>
      </c>
      <c r="I20" s="117" t="s">
        <v>88</v>
      </c>
      <c r="J20" s="116"/>
      <c r="K20" s="116"/>
      <c r="L20" s="117" t="s">
        <v>88</v>
      </c>
      <c r="M20" s="116"/>
      <c r="N20" s="116"/>
      <c r="O20" s="113" t="s">
        <v>121</v>
      </c>
    </row>
    <row r="21" spans="1:15" ht="60" customHeight="1"/>
    <row r="22" spans="1:15" ht="60" customHeight="1"/>
    <row r="23" spans="1:15" ht="75" customHeight="1"/>
    <row r="24" spans="1:15" ht="60" customHeight="1"/>
  </sheetData>
  <mergeCells count="3">
    <mergeCell ref="B2:E2"/>
    <mergeCell ref="B3:E3"/>
    <mergeCell ref="B4:E4"/>
  </mergeCells>
  <pageMargins left="0.74791666666666667" right="0.25" top="0.75" bottom="0.98402777777777772" header="0.5" footer="0.5"/>
  <pageSetup paperSize="9" firstPageNumber="0" orientation="landscape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R31"/>
  <sheetViews>
    <sheetView workbookViewId="0"/>
  </sheetViews>
  <sheetFormatPr defaultColWidth="9" defaultRowHeight="12.75" customHeight="1"/>
  <cols>
    <col min="1" max="1" width="12" style="7" customWidth="1"/>
    <col min="2" max="2" width="38" style="7" customWidth="1"/>
    <col min="3" max="3" width="42" style="7" customWidth="1"/>
    <col min="4" max="4" width="38" style="7" customWidth="1"/>
    <col min="5" max="5" width="28" style="7" customWidth="1"/>
    <col min="6" max="6" width="12" style="7" customWidth="1"/>
    <col min="7" max="7" width="14" style="7" customWidth="1"/>
    <col min="8" max="8" width="16" style="7" customWidth="1"/>
    <col min="9" max="9" width="12" style="7" customWidth="1"/>
    <col min="10" max="10" width="14" style="7" customWidth="1"/>
    <col min="11" max="11" width="16" style="7" customWidth="1"/>
    <col min="12" max="12" width="12" style="7" customWidth="1"/>
    <col min="13" max="13" width="14" style="7" customWidth="1"/>
    <col min="14" max="14" width="16" style="7" customWidth="1"/>
    <col min="15" max="15" width="15" style="7" customWidth="1"/>
    <col min="16" max="16" width="10.140625" style="7" customWidth="1"/>
    <col min="17" max="17" width="8.140625" style="85" customWidth="1"/>
    <col min="18" max="18" width="7.5703125" style="7" customWidth="1"/>
    <col min="19" max="19" width="9" style="7" customWidth="1"/>
    <col min="20" max="16384" width="9" style="7"/>
  </cols>
  <sheetData>
    <row r="1" spans="1:18" ht="13.5" customHeight="1"/>
    <row r="2" spans="1:18" ht="15" customHeight="1">
      <c r="A2" s="87" t="s">
        <v>100</v>
      </c>
      <c r="B2" s="119" t="s">
        <v>68</v>
      </c>
      <c r="C2" s="119"/>
      <c r="D2" s="119"/>
      <c r="E2" s="119"/>
      <c r="F2" s="88"/>
      <c r="G2" s="89"/>
      <c r="H2" s="36"/>
      <c r="I2" s="88"/>
      <c r="J2" s="89"/>
      <c r="K2" s="36"/>
      <c r="L2" s="88"/>
      <c r="M2" s="89"/>
      <c r="N2" s="36"/>
      <c r="O2" s="36"/>
      <c r="P2" s="36"/>
      <c r="Q2" s="90"/>
      <c r="R2" s="86" t="s">
        <v>85</v>
      </c>
    </row>
    <row r="3" spans="1:18" ht="12.75" customHeight="1">
      <c r="A3" s="91" t="s">
        <v>101</v>
      </c>
      <c r="B3" s="119" t="s">
        <v>279</v>
      </c>
      <c r="C3" s="119"/>
      <c r="D3" s="119"/>
      <c r="E3" s="119"/>
      <c r="F3" s="88"/>
      <c r="G3" s="89"/>
      <c r="H3" s="36"/>
      <c r="I3" s="88"/>
      <c r="J3" s="89"/>
      <c r="K3" s="36"/>
      <c r="L3" s="88"/>
      <c r="M3" s="89"/>
      <c r="N3" s="36"/>
      <c r="O3" s="36"/>
      <c r="P3" s="36"/>
      <c r="Q3" s="90"/>
      <c r="R3" s="86" t="s">
        <v>86</v>
      </c>
    </row>
    <row r="4" spans="1:18" ht="18" customHeight="1">
      <c r="A4" s="91" t="s">
        <v>103</v>
      </c>
      <c r="B4" s="120">
        <f>COUNTA(A12:A991)</f>
        <v>20</v>
      </c>
      <c r="C4" s="120"/>
      <c r="D4" s="120"/>
      <c r="E4" s="120"/>
      <c r="F4" s="88"/>
      <c r="G4" s="89"/>
      <c r="H4" s="36"/>
      <c r="I4" s="88"/>
      <c r="J4" s="89"/>
      <c r="K4" s="36"/>
      <c r="L4" s="88"/>
      <c r="M4" s="89"/>
      <c r="N4" s="36"/>
      <c r="O4" s="36"/>
      <c r="P4" s="36"/>
      <c r="Q4" s="90"/>
      <c r="R4" s="86" t="s">
        <v>87</v>
      </c>
    </row>
    <row r="5" spans="1:18" ht="19.5" customHeight="1">
      <c r="A5" s="92" t="s">
        <v>104</v>
      </c>
      <c r="B5" s="93" t="s">
        <v>85</v>
      </c>
      <c r="C5" s="93" t="s">
        <v>86</v>
      </c>
      <c r="D5" s="93" t="s">
        <v>87</v>
      </c>
      <c r="E5" s="94" t="s">
        <v>88</v>
      </c>
      <c r="F5" s="95"/>
      <c r="G5" s="95"/>
      <c r="H5" s="96"/>
      <c r="I5" s="95"/>
      <c r="J5" s="95"/>
      <c r="K5" s="96"/>
      <c r="L5" s="95"/>
      <c r="M5" s="95"/>
      <c r="N5" s="96"/>
      <c r="O5" s="96"/>
      <c r="P5" s="96"/>
      <c r="Q5" s="97"/>
      <c r="R5" s="86" t="s">
        <v>88</v>
      </c>
    </row>
    <row r="6" spans="1:18" ht="15" customHeight="1">
      <c r="A6" s="92" t="s">
        <v>105</v>
      </c>
      <c r="B6" s="98">
        <f>COUNTIF($F$12:$F$990,B5)</f>
        <v>18</v>
      </c>
      <c r="C6" s="98">
        <f>COUNTIF($F$12:$F$990,C5)</f>
        <v>2</v>
      </c>
      <c r="D6" s="98">
        <f>COUNTIF($F$12:$F$990,D5)</f>
        <v>0</v>
      </c>
      <c r="E6" s="99">
        <f>COUNTIF($F$12:$F$990,E5)</f>
        <v>0</v>
      </c>
      <c r="F6" s="100"/>
      <c r="G6" s="100"/>
      <c r="H6" s="96"/>
      <c r="I6" s="100"/>
      <c r="J6" s="100"/>
      <c r="K6" s="96"/>
      <c r="L6" s="100"/>
      <c r="M6" s="100"/>
      <c r="N6" s="96"/>
      <c r="O6" s="96"/>
      <c r="P6" s="96"/>
      <c r="Q6" s="97"/>
    </row>
    <row r="7" spans="1:18" ht="15" customHeight="1">
      <c r="A7" s="92" t="s">
        <v>106</v>
      </c>
      <c r="B7" s="98">
        <f>COUNTIF($I$12:$I$990,B5)</f>
        <v>2</v>
      </c>
      <c r="C7" s="98">
        <f>COUNTIF($I$12:$I$990,C5)</f>
        <v>0</v>
      </c>
      <c r="D7" s="98">
        <f>COUNTIF($I$12:$I$990,D5)</f>
        <v>0</v>
      </c>
      <c r="E7" s="99">
        <f>COUNTIF($I$12:$I$990,E5)</f>
        <v>18</v>
      </c>
      <c r="F7" s="100"/>
      <c r="G7" s="100"/>
      <c r="H7" s="96"/>
      <c r="I7" s="100"/>
      <c r="J7" s="100"/>
      <c r="K7" s="96"/>
      <c r="L7" s="100"/>
      <c r="M7" s="100"/>
      <c r="N7" s="96"/>
      <c r="O7" s="96"/>
      <c r="P7" s="96"/>
      <c r="Q7" s="97"/>
    </row>
    <row r="8" spans="1:18" ht="15" customHeight="1">
      <c r="A8" s="101" t="s">
        <v>107</v>
      </c>
      <c r="B8" s="102">
        <f>COUNTIF($L$12:$L$990,B5)</f>
        <v>0</v>
      </c>
      <c r="C8" s="102">
        <f>COUNTIF($L$12:$L$990,C5)</f>
        <v>0</v>
      </c>
      <c r="D8" s="102">
        <f>COUNTIF($L$12:$L$990,D5)</f>
        <v>0</v>
      </c>
      <c r="E8" s="103">
        <f>COUNTIF($L$12:$L$990,E5)</f>
        <v>20</v>
      </c>
      <c r="F8" s="100"/>
      <c r="G8" s="100"/>
      <c r="H8" s="96"/>
      <c r="I8" s="100"/>
      <c r="J8" s="100"/>
      <c r="K8" s="96"/>
      <c r="L8" s="100"/>
      <c r="M8" s="100"/>
      <c r="N8" s="96"/>
      <c r="O8" s="96"/>
      <c r="P8" s="96"/>
      <c r="Q8" s="97"/>
    </row>
    <row r="9" spans="1:18" ht="15" customHeight="1">
      <c r="A9" s="96"/>
      <c r="B9" s="96"/>
      <c r="C9" s="96"/>
      <c r="D9" s="96"/>
      <c r="E9" s="96"/>
      <c r="F9" s="84"/>
      <c r="G9" s="96"/>
      <c r="H9" s="96"/>
      <c r="I9" s="84"/>
      <c r="J9" s="96"/>
      <c r="K9" s="96"/>
      <c r="L9" s="84"/>
      <c r="M9" s="96"/>
      <c r="N9" s="96"/>
      <c r="O9" s="96"/>
      <c r="P9" s="96"/>
      <c r="Q9" s="97"/>
    </row>
    <row r="10" spans="1:18" ht="25.5" customHeight="1">
      <c r="A10" s="104" t="s">
        <v>108</v>
      </c>
      <c r="B10" s="104" t="s">
        <v>109</v>
      </c>
      <c r="C10" s="104" t="s">
        <v>110</v>
      </c>
      <c r="D10" s="104" t="s">
        <v>111</v>
      </c>
      <c r="E10" s="104" t="s">
        <v>112</v>
      </c>
      <c r="F10" s="104" t="s">
        <v>105</v>
      </c>
      <c r="G10" s="104" t="s">
        <v>113</v>
      </c>
      <c r="H10" s="104" t="s">
        <v>114</v>
      </c>
      <c r="I10" s="104" t="s">
        <v>106</v>
      </c>
      <c r="J10" s="104" t="s">
        <v>113</v>
      </c>
      <c r="K10" s="104" t="s">
        <v>114</v>
      </c>
      <c r="L10" s="104" t="s">
        <v>107</v>
      </c>
      <c r="M10" s="104" t="s">
        <v>113</v>
      </c>
      <c r="N10" s="104" t="s">
        <v>114</v>
      </c>
      <c r="O10" s="104" t="s">
        <v>115</v>
      </c>
      <c r="P10" s="86"/>
      <c r="Q10" s="105"/>
    </row>
    <row r="11" spans="1:18" ht="15.75" customHeight="1">
      <c r="A11" s="106" t="s">
        <v>56</v>
      </c>
      <c r="B11" s="106"/>
      <c r="C11" s="107"/>
      <c r="D11" s="107"/>
      <c r="E11" s="107"/>
      <c r="F11" s="108"/>
      <c r="G11" s="108"/>
      <c r="H11" s="108"/>
      <c r="I11" s="108"/>
      <c r="J11" s="108"/>
      <c r="K11" s="108"/>
      <c r="L11" s="108"/>
      <c r="M11" s="108"/>
      <c r="N11" s="108"/>
      <c r="O11" s="109"/>
      <c r="P11" s="86"/>
      <c r="Q11" s="110"/>
    </row>
    <row r="12" spans="1:18" ht="75" customHeight="1">
      <c r="A12" s="112" t="s">
        <v>280</v>
      </c>
      <c r="B12" s="113" t="s">
        <v>281</v>
      </c>
      <c r="C12" s="113" t="s">
        <v>282</v>
      </c>
      <c r="D12" s="113" t="s">
        <v>283</v>
      </c>
      <c r="E12" s="113" t="s">
        <v>284</v>
      </c>
      <c r="F12" s="114" t="s">
        <v>85</v>
      </c>
      <c r="G12" s="115">
        <v>46212</v>
      </c>
      <c r="H12" s="116" t="s">
        <v>4</v>
      </c>
      <c r="I12" s="117" t="s">
        <v>88</v>
      </c>
      <c r="J12" s="116"/>
      <c r="K12" s="116"/>
      <c r="L12" s="117" t="s">
        <v>88</v>
      </c>
      <c r="M12" s="116"/>
      <c r="N12" s="116"/>
      <c r="O12" s="113" t="s">
        <v>121</v>
      </c>
    </row>
    <row r="13" spans="1:18" ht="60" customHeight="1">
      <c r="A13" s="112" t="s">
        <v>285</v>
      </c>
      <c r="B13" s="113" t="s">
        <v>286</v>
      </c>
      <c r="C13" s="113" t="s">
        <v>287</v>
      </c>
      <c r="D13" s="113" t="s">
        <v>288</v>
      </c>
      <c r="E13" s="113" t="s">
        <v>289</v>
      </c>
      <c r="F13" s="114" t="s">
        <v>85</v>
      </c>
      <c r="G13" s="115">
        <v>46212</v>
      </c>
      <c r="H13" s="116" t="s">
        <v>4</v>
      </c>
      <c r="I13" s="117" t="s">
        <v>88</v>
      </c>
      <c r="J13" s="116"/>
      <c r="K13" s="116"/>
      <c r="L13" s="117" t="s">
        <v>88</v>
      </c>
      <c r="M13" s="116"/>
      <c r="N13" s="116"/>
      <c r="O13" s="113" t="s">
        <v>121</v>
      </c>
    </row>
    <row r="14" spans="1:18" ht="60" customHeight="1">
      <c r="A14" s="112" t="s">
        <v>290</v>
      </c>
      <c r="B14" s="113" t="s">
        <v>291</v>
      </c>
      <c r="C14" s="113" t="s">
        <v>292</v>
      </c>
      <c r="D14" s="113" t="s">
        <v>293</v>
      </c>
      <c r="E14" s="113" t="s">
        <v>294</v>
      </c>
      <c r="F14" s="114" t="s">
        <v>85</v>
      </c>
      <c r="G14" s="115">
        <v>46212</v>
      </c>
      <c r="H14" s="116" t="s">
        <v>4</v>
      </c>
      <c r="I14" s="117" t="s">
        <v>88</v>
      </c>
      <c r="J14" s="116"/>
      <c r="K14" s="116"/>
      <c r="L14" s="117" t="s">
        <v>88</v>
      </c>
      <c r="M14" s="116"/>
      <c r="N14" s="116"/>
      <c r="O14" s="113" t="s">
        <v>121</v>
      </c>
    </row>
    <row r="15" spans="1:18" ht="60" customHeight="1">
      <c r="A15" s="112" t="s">
        <v>295</v>
      </c>
      <c r="B15" s="113" t="s">
        <v>296</v>
      </c>
      <c r="C15" s="113" t="s">
        <v>297</v>
      </c>
      <c r="D15" s="113" t="s">
        <v>298</v>
      </c>
      <c r="E15" s="113" t="s">
        <v>294</v>
      </c>
      <c r="F15" s="114" t="s">
        <v>85</v>
      </c>
      <c r="G15" s="115">
        <v>46212</v>
      </c>
      <c r="H15" s="116" t="s">
        <v>4</v>
      </c>
      <c r="I15" s="117" t="s">
        <v>88</v>
      </c>
      <c r="J15" s="116"/>
      <c r="K15" s="116"/>
      <c r="L15" s="117" t="s">
        <v>88</v>
      </c>
      <c r="M15" s="116"/>
      <c r="N15" s="116"/>
      <c r="O15" s="113" t="s">
        <v>121</v>
      </c>
    </row>
    <row r="16" spans="1:18" ht="60" customHeight="1">
      <c r="A16" s="112" t="s">
        <v>299</v>
      </c>
      <c r="B16" s="113" t="s">
        <v>300</v>
      </c>
      <c r="C16" s="113" t="s">
        <v>301</v>
      </c>
      <c r="D16" s="113" t="s">
        <v>302</v>
      </c>
      <c r="E16" s="113" t="s">
        <v>303</v>
      </c>
      <c r="F16" s="114" t="s">
        <v>85</v>
      </c>
      <c r="G16" s="115">
        <v>46212</v>
      </c>
      <c r="H16" s="116" t="s">
        <v>4</v>
      </c>
      <c r="I16" s="117" t="s">
        <v>88</v>
      </c>
      <c r="J16" s="116"/>
      <c r="K16" s="116"/>
      <c r="L16" s="117" t="s">
        <v>88</v>
      </c>
      <c r="M16" s="116"/>
      <c r="N16" s="116"/>
      <c r="O16" s="113" t="s">
        <v>121</v>
      </c>
    </row>
    <row r="17" spans="1:15" ht="60" customHeight="1">
      <c r="A17" s="112" t="s">
        <v>304</v>
      </c>
      <c r="B17" s="113" t="s">
        <v>305</v>
      </c>
      <c r="C17" s="113" t="s">
        <v>306</v>
      </c>
      <c r="D17" s="113" t="s">
        <v>307</v>
      </c>
      <c r="E17" s="113" t="s">
        <v>308</v>
      </c>
      <c r="F17" s="114" t="s">
        <v>85</v>
      </c>
      <c r="G17" s="115">
        <v>46212</v>
      </c>
      <c r="H17" s="116" t="s">
        <v>4</v>
      </c>
      <c r="I17" s="117" t="s">
        <v>88</v>
      </c>
      <c r="J17" s="116"/>
      <c r="K17" s="116"/>
      <c r="L17" s="117" t="s">
        <v>88</v>
      </c>
      <c r="M17" s="116"/>
      <c r="N17" s="116"/>
      <c r="O17" s="113" t="s">
        <v>121</v>
      </c>
    </row>
    <row r="18" spans="1:15" ht="60" customHeight="1">
      <c r="A18" s="112" t="s">
        <v>309</v>
      </c>
      <c r="B18" s="113" t="s">
        <v>310</v>
      </c>
      <c r="C18" s="113" t="s">
        <v>311</v>
      </c>
      <c r="D18" s="113" t="s">
        <v>312</v>
      </c>
      <c r="E18" s="113" t="s">
        <v>313</v>
      </c>
      <c r="F18" s="114" t="s">
        <v>85</v>
      </c>
      <c r="G18" s="115">
        <v>46212</v>
      </c>
      <c r="H18" s="116" t="s">
        <v>4</v>
      </c>
      <c r="I18" s="117" t="s">
        <v>88</v>
      </c>
      <c r="J18" s="116"/>
      <c r="K18" s="116"/>
      <c r="L18" s="117" t="s">
        <v>88</v>
      </c>
      <c r="M18" s="116"/>
      <c r="N18" s="116"/>
      <c r="O18" s="113" t="s">
        <v>121</v>
      </c>
    </row>
    <row r="19" spans="1:15" ht="45" customHeight="1">
      <c r="A19" s="112" t="s">
        <v>314</v>
      </c>
      <c r="B19" s="113" t="s">
        <v>315</v>
      </c>
      <c r="C19" s="113" t="s">
        <v>316</v>
      </c>
      <c r="D19" s="113" t="s">
        <v>317</v>
      </c>
      <c r="E19" s="113" t="s">
        <v>318</v>
      </c>
      <c r="F19" s="114" t="s">
        <v>85</v>
      </c>
      <c r="G19" s="115">
        <v>46212</v>
      </c>
      <c r="H19" s="116" t="s">
        <v>4</v>
      </c>
      <c r="I19" s="117" t="s">
        <v>88</v>
      </c>
      <c r="J19" s="116"/>
      <c r="K19" s="116"/>
      <c r="L19" s="117" t="s">
        <v>88</v>
      </c>
      <c r="M19" s="116"/>
      <c r="N19" s="116"/>
      <c r="O19" s="113" t="s">
        <v>121</v>
      </c>
    </row>
    <row r="20" spans="1:15" ht="45" customHeight="1">
      <c r="A20" s="112" t="s">
        <v>319</v>
      </c>
      <c r="B20" s="113" t="s">
        <v>320</v>
      </c>
      <c r="C20" s="113" t="s">
        <v>321</v>
      </c>
      <c r="D20" s="113" t="s">
        <v>322</v>
      </c>
      <c r="E20" s="113" t="s">
        <v>323</v>
      </c>
      <c r="F20" s="114" t="s">
        <v>85</v>
      </c>
      <c r="G20" s="115">
        <v>46212</v>
      </c>
      <c r="H20" s="116" t="s">
        <v>4</v>
      </c>
      <c r="I20" s="117" t="s">
        <v>88</v>
      </c>
      <c r="J20" s="116"/>
      <c r="K20" s="116"/>
      <c r="L20" s="117" t="s">
        <v>88</v>
      </c>
      <c r="M20" s="116"/>
      <c r="N20" s="116"/>
      <c r="O20" s="113" t="s">
        <v>121</v>
      </c>
    </row>
    <row r="21" spans="1:15" ht="60" customHeight="1">
      <c r="A21" s="112" t="s">
        <v>324</v>
      </c>
      <c r="B21" s="113" t="s">
        <v>325</v>
      </c>
      <c r="C21" s="113" t="s">
        <v>326</v>
      </c>
      <c r="D21" s="113" t="s">
        <v>327</v>
      </c>
      <c r="E21" s="113" t="s">
        <v>323</v>
      </c>
      <c r="F21" s="114" t="s">
        <v>85</v>
      </c>
      <c r="G21" s="115">
        <v>46212</v>
      </c>
      <c r="H21" s="116" t="s">
        <v>4</v>
      </c>
      <c r="I21" s="117" t="s">
        <v>88</v>
      </c>
      <c r="J21" s="116"/>
      <c r="K21" s="116"/>
      <c r="L21" s="117" t="s">
        <v>88</v>
      </c>
      <c r="M21" s="116"/>
      <c r="N21" s="116"/>
      <c r="O21" s="113" t="s">
        <v>121</v>
      </c>
    </row>
    <row r="22" spans="1:15" ht="60" customHeight="1">
      <c r="A22" s="112" t="s">
        <v>328</v>
      </c>
      <c r="B22" s="113" t="s">
        <v>329</v>
      </c>
      <c r="C22" s="113" t="s">
        <v>330</v>
      </c>
      <c r="D22" s="113" t="s">
        <v>331</v>
      </c>
      <c r="E22" s="113" t="s">
        <v>332</v>
      </c>
      <c r="F22" s="114" t="s">
        <v>85</v>
      </c>
      <c r="G22" s="115">
        <v>46212</v>
      </c>
      <c r="H22" s="116" t="s">
        <v>4</v>
      </c>
      <c r="I22" s="117" t="s">
        <v>88</v>
      </c>
      <c r="J22" s="116"/>
      <c r="K22" s="116"/>
      <c r="L22" s="117" t="s">
        <v>88</v>
      </c>
      <c r="M22" s="116"/>
      <c r="N22" s="116"/>
      <c r="O22" s="113" t="s">
        <v>121</v>
      </c>
    </row>
    <row r="23" spans="1:15" ht="45" customHeight="1">
      <c r="A23" s="112" t="s">
        <v>333</v>
      </c>
      <c r="B23" s="113" t="s">
        <v>334</v>
      </c>
      <c r="C23" s="113" t="s">
        <v>335</v>
      </c>
      <c r="D23" s="113" t="s">
        <v>336</v>
      </c>
      <c r="E23" s="113" t="s">
        <v>294</v>
      </c>
      <c r="F23" s="114" t="s">
        <v>85</v>
      </c>
      <c r="G23" s="115">
        <v>46212</v>
      </c>
      <c r="H23" s="116" t="s">
        <v>4</v>
      </c>
      <c r="I23" s="117" t="s">
        <v>88</v>
      </c>
      <c r="J23" s="116"/>
      <c r="K23" s="116"/>
      <c r="L23" s="117" t="s">
        <v>88</v>
      </c>
      <c r="M23" s="116"/>
      <c r="N23" s="116"/>
      <c r="O23" s="113" t="s">
        <v>121</v>
      </c>
    </row>
    <row r="24" spans="1:15" ht="60" customHeight="1">
      <c r="A24" s="112" t="s">
        <v>337</v>
      </c>
      <c r="B24" s="113" t="s">
        <v>338</v>
      </c>
      <c r="C24" s="113" t="s">
        <v>339</v>
      </c>
      <c r="D24" s="113" t="s">
        <v>340</v>
      </c>
      <c r="E24" s="113" t="s">
        <v>341</v>
      </c>
      <c r="F24" s="114" t="s">
        <v>85</v>
      </c>
      <c r="G24" s="115">
        <v>46212</v>
      </c>
      <c r="H24" s="116" t="s">
        <v>4</v>
      </c>
      <c r="I24" s="117" t="s">
        <v>88</v>
      </c>
      <c r="J24" s="116"/>
      <c r="K24" s="116"/>
      <c r="L24" s="117" t="s">
        <v>88</v>
      </c>
      <c r="M24" s="116"/>
      <c r="N24" s="116"/>
      <c r="O24" s="113" t="s">
        <v>121</v>
      </c>
    </row>
    <row r="25" spans="1:15" ht="60" customHeight="1">
      <c r="A25" s="112" t="s">
        <v>342</v>
      </c>
      <c r="B25" s="113" t="s">
        <v>343</v>
      </c>
      <c r="C25" s="113" t="s">
        <v>344</v>
      </c>
      <c r="D25" s="113" t="s">
        <v>345</v>
      </c>
      <c r="E25" s="113" t="s">
        <v>346</v>
      </c>
      <c r="F25" s="118" t="s">
        <v>86</v>
      </c>
      <c r="G25" s="115">
        <v>46212</v>
      </c>
      <c r="H25" s="116" t="s">
        <v>4</v>
      </c>
      <c r="I25" s="114" t="s">
        <v>85</v>
      </c>
      <c r="J25" s="115">
        <v>46213</v>
      </c>
      <c r="K25" s="116" t="s">
        <v>4</v>
      </c>
      <c r="L25" s="117" t="s">
        <v>88</v>
      </c>
      <c r="M25" s="116"/>
      <c r="N25" s="116"/>
      <c r="O25" s="113" t="s">
        <v>121</v>
      </c>
    </row>
    <row r="26" spans="1:15" ht="60" customHeight="1">
      <c r="A26" s="112" t="s">
        <v>347</v>
      </c>
      <c r="B26" s="113" t="s">
        <v>348</v>
      </c>
      <c r="C26" s="113" t="s">
        <v>349</v>
      </c>
      <c r="D26" s="113" t="s">
        <v>350</v>
      </c>
      <c r="E26" s="113" t="s">
        <v>346</v>
      </c>
      <c r="F26" s="114" t="s">
        <v>85</v>
      </c>
      <c r="G26" s="115">
        <v>46212</v>
      </c>
      <c r="H26" s="116" t="s">
        <v>4</v>
      </c>
      <c r="I26" s="117" t="s">
        <v>88</v>
      </c>
      <c r="J26" s="116"/>
      <c r="K26" s="116"/>
      <c r="L26" s="117" t="s">
        <v>88</v>
      </c>
      <c r="M26" s="116"/>
      <c r="N26" s="116"/>
      <c r="O26" s="113" t="s">
        <v>121</v>
      </c>
    </row>
    <row r="27" spans="1:15" ht="60" customHeight="1">
      <c r="A27" s="112" t="s">
        <v>351</v>
      </c>
      <c r="B27" s="113" t="s">
        <v>352</v>
      </c>
      <c r="C27" s="113" t="s">
        <v>353</v>
      </c>
      <c r="D27" s="113" t="s">
        <v>354</v>
      </c>
      <c r="E27" s="113" t="s">
        <v>355</v>
      </c>
      <c r="F27" s="114" t="s">
        <v>85</v>
      </c>
      <c r="G27" s="115">
        <v>46212</v>
      </c>
      <c r="H27" s="116" t="s">
        <v>4</v>
      </c>
      <c r="I27" s="117" t="s">
        <v>88</v>
      </c>
      <c r="J27" s="116"/>
      <c r="K27" s="116"/>
      <c r="L27" s="117" t="s">
        <v>88</v>
      </c>
      <c r="M27" s="116"/>
      <c r="N27" s="116"/>
      <c r="O27" s="113" t="s">
        <v>121</v>
      </c>
    </row>
    <row r="28" spans="1:15" ht="60" customHeight="1">
      <c r="A28" s="112" t="s">
        <v>356</v>
      </c>
      <c r="B28" s="113" t="s">
        <v>357</v>
      </c>
      <c r="C28" s="113" t="s">
        <v>358</v>
      </c>
      <c r="D28" s="113" t="s">
        <v>359</v>
      </c>
      <c r="E28" s="113" t="s">
        <v>360</v>
      </c>
      <c r="F28" s="114" t="s">
        <v>85</v>
      </c>
      <c r="G28" s="115">
        <v>46212</v>
      </c>
      <c r="H28" s="116" t="s">
        <v>4</v>
      </c>
      <c r="I28" s="117" t="s">
        <v>88</v>
      </c>
      <c r="J28" s="116"/>
      <c r="K28" s="116"/>
      <c r="L28" s="117" t="s">
        <v>88</v>
      </c>
      <c r="M28" s="116"/>
      <c r="N28" s="116"/>
      <c r="O28" s="113" t="s">
        <v>121</v>
      </c>
    </row>
    <row r="29" spans="1:15" ht="45" customHeight="1">
      <c r="A29" s="112" t="s">
        <v>361</v>
      </c>
      <c r="B29" s="113" t="s">
        <v>362</v>
      </c>
      <c r="C29" s="113" t="s">
        <v>363</v>
      </c>
      <c r="D29" s="113" t="s">
        <v>364</v>
      </c>
      <c r="E29" s="113" t="s">
        <v>346</v>
      </c>
      <c r="F29" s="114" t="s">
        <v>85</v>
      </c>
      <c r="G29" s="115">
        <v>46212</v>
      </c>
      <c r="H29" s="116" t="s">
        <v>4</v>
      </c>
      <c r="I29" s="117" t="s">
        <v>88</v>
      </c>
      <c r="J29" s="116"/>
      <c r="K29" s="116"/>
      <c r="L29" s="117" t="s">
        <v>88</v>
      </c>
      <c r="M29" s="116"/>
      <c r="N29" s="116"/>
      <c r="O29" s="113" t="s">
        <v>121</v>
      </c>
    </row>
    <row r="30" spans="1:15" ht="45" customHeight="1">
      <c r="A30" s="112" t="s">
        <v>365</v>
      </c>
      <c r="B30" s="113" t="s">
        <v>366</v>
      </c>
      <c r="C30" s="113" t="s">
        <v>367</v>
      </c>
      <c r="D30" s="113" t="s">
        <v>368</v>
      </c>
      <c r="E30" s="113" t="s">
        <v>369</v>
      </c>
      <c r="F30" s="114" t="s">
        <v>85</v>
      </c>
      <c r="G30" s="115">
        <v>46212</v>
      </c>
      <c r="H30" s="116" t="s">
        <v>4</v>
      </c>
      <c r="I30" s="117" t="s">
        <v>88</v>
      </c>
      <c r="J30" s="116"/>
      <c r="K30" s="116"/>
      <c r="L30" s="117" t="s">
        <v>88</v>
      </c>
      <c r="M30" s="116"/>
      <c r="N30" s="116"/>
      <c r="O30" s="113" t="s">
        <v>121</v>
      </c>
    </row>
    <row r="31" spans="1:15" ht="60" customHeight="1">
      <c r="A31" s="112" t="s">
        <v>370</v>
      </c>
      <c r="B31" s="113" t="s">
        <v>371</v>
      </c>
      <c r="C31" s="113" t="s">
        <v>372</v>
      </c>
      <c r="D31" s="113" t="s">
        <v>373</v>
      </c>
      <c r="E31" s="113" t="s">
        <v>374</v>
      </c>
      <c r="F31" s="118" t="s">
        <v>86</v>
      </c>
      <c r="G31" s="115">
        <v>46212</v>
      </c>
      <c r="H31" s="116" t="s">
        <v>4</v>
      </c>
      <c r="I31" s="114" t="s">
        <v>85</v>
      </c>
      <c r="J31" s="115">
        <v>46213</v>
      </c>
      <c r="K31" s="116" t="s">
        <v>4</v>
      </c>
      <c r="L31" s="117" t="s">
        <v>88</v>
      </c>
      <c r="M31" s="116"/>
      <c r="N31" s="116"/>
      <c r="O31" s="113" t="s">
        <v>121</v>
      </c>
    </row>
  </sheetData>
  <mergeCells count="3">
    <mergeCell ref="B2:E2"/>
    <mergeCell ref="B3:E3"/>
    <mergeCell ref="B4:E4"/>
  </mergeCells>
  <pageMargins left="0.74791666666666667" right="0.25" top="0.75" bottom="0.98402777777777772" header="0.5" footer="0.5"/>
  <pageSetup paperSize="9" firstPageNumber="0" orientation="landscape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R27"/>
  <sheetViews>
    <sheetView tabSelected="1" workbookViewId="0">
      <selection activeCell="G5" sqref="G5"/>
    </sheetView>
  </sheetViews>
  <sheetFormatPr defaultColWidth="9" defaultRowHeight="12.75" customHeight="1"/>
  <cols>
    <col min="1" max="1" width="15.28515625" style="7" customWidth="1"/>
    <col min="2" max="2" width="38" style="7" customWidth="1"/>
    <col min="3" max="3" width="42" style="7" customWidth="1"/>
    <col min="4" max="4" width="38" style="7" customWidth="1"/>
    <col min="5" max="5" width="28" style="7" customWidth="1"/>
    <col min="6" max="6" width="12" style="7" customWidth="1"/>
    <col min="7" max="7" width="14" style="7" customWidth="1"/>
    <col min="8" max="8" width="16" style="7" customWidth="1"/>
    <col min="9" max="9" width="12" style="7" customWidth="1"/>
    <col min="10" max="10" width="14" style="7" customWidth="1"/>
    <col min="11" max="11" width="16" style="7" customWidth="1"/>
    <col min="12" max="12" width="12" style="7" customWidth="1"/>
    <col min="13" max="13" width="14" style="7" customWidth="1"/>
    <col min="14" max="14" width="16" style="7" customWidth="1"/>
    <col min="15" max="15" width="15" style="7" customWidth="1"/>
    <col min="16" max="16" width="10.140625" style="7" customWidth="1"/>
    <col min="17" max="17" width="8.140625" style="85" customWidth="1"/>
    <col min="18" max="18" width="7.5703125" style="7" customWidth="1"/>
    <col min="19" max="19" width="9" style="7" customWidth="1"/>
    <col min="20" max="16384" width="9" style="7"/>
  </cols>
  <sheetData>
    <row r="1" spans="1:18" ht="13.5" customHeight="1"/>
    <row r="2" spans="1:18" ht="15" customHeight="1">
      <c r="A2" s="87" t="s">
        <v>100</v>
      </c>
      <c r="B2" s="119" t="s">
        <v>72</v>
      </c>
      <c r="C2" s="119"/>
      <c r="D2" s="119"/>
      <c r="E2" s="119"/>
      <c r="F2" s="88"/>
      <c r="G2" s="89"/>
      <c r="H2" s="36"/>
      <c r="I2" s="88"/>
      <c r="J2" s="89"/>
      <c r="K2" s="36"/>
      <c r="L2" s="88"/>
      <c r="M2" s="89"/>
      <c r="N2" s="36"/>
      <c r="O2" s="36"/>
      <c r="P2" s="36"/>
      <c r="Q2" s="90"/>
      <c r="R2" s="86" t="s">
        <v>85</v>
      </c>
    </row>
    <row r="3" spans="1:18" ht="12.75" customHeight="1">
      <c r="A3" s="91" t="s">
        <v>101</v>
      </c>
      <c r="B3" s="119" t="s">
        <v>375</v>
      </c>
      <c r="C3" s="119"/>
      <c r="D3" s="119"/>
      <c r="E3" s="119"/>
      <c r="F3" s="88"/>
      <c r="G3" s="89"/>
      <c r="H3" s="36"/>
      <c r="I3" s="88"/>
      <c r="J3" s="89"/>
      <c r="K3" s="36"/>
      <c r="L3" s="88"/>
      <c r="M3" s="89"/>
      <c r="N3" s="36"/>
      <c r="O3" s="36"/>
      <c r="P3" s="36"/>
      <c r="Q3" s="90"/>
      <c r="R3" s="86" t="s">
        <v>86</v>
      </c>
    </row>
    <row r="4" spans="1:18" ht="18" customHeight="1">
      <c r="A4" s="91" t="s">
        <v>103</v>
      </c>
      <c r="B4" s="120">
        <f>COUNTA(A12:A991)</f>
        <v>16</v>
      </c>
      <c r="C4" s="120"/>
      <c r="D4" s="120"/>
      <c r="E4" s="120"/>
      <c r="F4" s="88"/>
      <c r="G4" s="89"/>
      <c r="H4" s="36"/>
      <c r="I4" s="88"/>
      <c r="J4" s="89"/>
      <c r="K4" s="36"/>
      <c r="L4" s="88"/>
      <c r="M4" s="89"/>
      <c r="N4" s="36"/>
      <c r="O4" s="36"/>
      <c r="P4" s="36"/>
      <c r="Q4" s="90"/>
      <c r="R4" s="86" t="s">
        <v>87</v>
      </c>
    </row>
    <row r="5" spans="1:18" ht="19.5" customHeight="1">
      <c r="A5" s="92" t="s">
        <v>104</v>
      </c>
      <c r="B5" s="93" t="s">
        <v>85</v>
      </c>
      <c r="C5" s="93" t="s">
        <v>86</v>
      </c>
      <c r="D5" s="93" t="s">
        <v>87</v>
      </c>
      <c r="E5" s="94" t="s">
        <v>88</v>
      </c>
      <c r="F5" s="95"/>
      <c r="G5" s="95"/>
      <c r="H5" s="96"/>
      <c r="I5" s="95"/>
      <c r="J5" s="95"/>
      <c r="K5" s="96"/>
      <c r="L5" s="95"/>
      <c r="M5" s="95"/>
      <c r="N5" s="96"/>
      <c r="O5" s="96"/>
      <c r="P5" s="96"/>
      <c r="Q5" s="97"/>
      <c r="R5" s="86" t="s">
        <v>88</v>
      </c>
    </row>
    <row r="6" spans="1:18" ht="15" customHeight="1">
      <c r="A6" s="92" t="s">
        <v>105</v>
      </c>
      <c r="B6" s="98">
        <f>COUNTIF($F$12:$F$990,B5)</f>
        <v>15</v>
      </c>
      <c r="C6" s="98">
        <f>COUNTIF($F$12:$F$990,C5)</f>
        <v>1</v>
      </c>
      <c r="D6" s="98">
        <f>COUNTIF($F$12:$F$990,D5)</f>
        <v>0</v>
      </c>
      <c r="E6" s="99">
        <f>COUNTIF($F$12:$F$990,E5)</f>
        <v>0</v>
      </c>
      <c r="F6" s="100"/>
      <c r="G6" s="100"/>
      <c r="H6" s="96"/>
      <c r="I6" s="100"/>
      <c r="J6" s="100"/>
      <c r="K6" s="96"/>
      <c r="L6" s="100"/>
      <c r="M6" s="100"/>
      <c r="N6" s="96"/>
      <c r="O6" s="96"/>
      <c r="P6" s="96"/>
      <c r="Q6" s="97"/>
    </row>
    <row r="7" spans="1:18" ht="15" customHeight="1">
      <c r="A7" s="92" t="s">
        <v>106</v>
      </c>
      <c r="B7" s="98">
        <f>COUNTIF($I$12:$I$990,B5)</f>
        <v>1</v>
      </c>
      <c r="C7" s="98">
        <f>COUNTIF($I$12:$I$990,C5)</f>
        <v>0</v>
      </c>
      <c r="D7" s="98">
        <f>COUNTIF($I$12:$I$990,D5)</f>
        <v>0</v>
      </c>
      <c r="E7" s="99">
        <f>COUNTIF($I$12:$I$990,E5)</f>
        <v>15</v>
      </c>
      <c r="F7" s="100"/>
      <c r="G7" s="100"/>
      <c r="H7" s="96"/>
      <c r="I7" s="100"/>
      <c r="J7" s="100"/>
      <c r="K7" s="96"/>
      <c r="L7" s="100"/>
      <c r="M7" s="100"/>
      <c r="N7" s="96"/>
      <c r="O7" s="96"/>
      <c r="P7" s="96"/>
      <c r="Q7" s="97"/>
    </row>
    <row r="8" spans="1:18" ht="15" customHeight="1">
      <c r="A8" s="101" t="s">
        <v>107</v>
      </c>
      <c r="B8" s="102">
        <f>COUNTIF($L$12:$L$990,B5)</f>
        <v>0</v>
      </c>
      <c r="C8" s="102">
        <f>COUNTIF($L$12:$L$990,C5)</f>
        <v>0</v>
      </c>
      <c r="D8" s="102">
        <f>COUNTIF($L$12:$L$990,D5)</f>
        <v>0</v>
      </c>
      <c r="E8" s="103">
        <f>COUNTIF($L$12:$L$990,E5)</f>
        <v>16</v>
      </c>
      <c r="F8" s="100"/>
      <c r="G8" s="100"/>
      <c r="H8" s="96"/>
      <c r="I8" s="100"/>
      <c r="J8" s="100"/>
      <c r="K8" s="96"/>
      <c r="L8" s="100"/>
      <c r="M8" s="100"/>
      <c r="N8" s="96"/>
      <c r="O8" s="96"/>
      <c r="P8" s="96"/>
      <c r="Q8" s="97"/>
    </row>
    <row r="9" spans="1:18" ht="15" customHeight="1">
      <c r="A9" s="96"/>
      <c r="B9" s="96"/>
      <c r="C9" s="96"/>
      <c r="D9" s="96"/>
      <c r="E9" s="96"/>
      <c r="F9" s="84"/>
      <c r="G9" s="96"/>
      <c r="H9" s="96"/>
      <c r="I9" s="84"/>
      <c r="J9" s="96"/>
      <c r="K9" s="96"/>
      <c r="L9" s="84"/>
      <c r="M9" s="96"/>
      <c r="N9" s="96"/>
      <c r="O9" s="96"/>
      <c r="P9" s="96"/>
      <c r="Q9" s="97"/>
    </row>
    <row r="10" spans="1:18" ht="25.5" customHeight="1">
      <c r="A10" s="104" t="s">
        <v>108</v>
      </c>
      <c r="B10" s="104" t="s">
        <v>109</v>
      </c>
      <c r="C10" s="104" t="s">
        <v>110</v>
      </c>
      <c r="D10" s="104" t="s">
        <v>111</v>
      </c>
      <c r="E10" s="104" t="s">
        <v>112</v>
      </c>
      <c r="F10" s="104" t="s">
        <v>105</v>
      </c>
      <c r="G10" s="104" t="s">
        <v>113</v>
      </c>
      <c r="H10" s="104" t="s">
        <v>114</v>
      </c>
      <c r="I10" s="104" t="s">
        <v>106</v>
      </c>
      <c r="J10" s="104" t="s">
        <v>113</v>
      </c>
      <c r="K10" s="104" t="s">
        <v>114</v>
      </c>
      <c r="L10" s="104" t="s">
        <v>107</v>
      </c>
      <c r="M10" s="104" t="s">
        <v>113</v>
      </c>
      <c r="N10" s="104" t="s">
        <v>114</v>
      </c>
      <c r="O10" s="104" t="s">
        <v>115</v>
      </c>
      <c r="P10" s="86"/>
      <c r="Q10" s="105"/>
    </row>
    <row r="11" spans="1:18" ht="15.75" customHeight="1">
      <c r="A11" s="106" t="s">
        <v>56</v>
      </c>
      <c r="B11" s="106"/>
      <c r="C11" s="107"/>
      <c r="D11" s="107"/>
      <c r="E11" s="107"/>
      <c r="F11" s="108"/>
      <c r="G11" s="108"/>
      <c r="H11" s="108"/>
      <c r="I11" s="108"/>
      <c r="J11" s="108"/>
      <c r="K11" s="108"/>
      <c r="L11" s="108"/>
      <c r="M11" s="108"/>
      <c r="N11" s="108"/>
      <c r="O11" s="109"/>
      <c r="P11" s="86"/>
      <c r="Q11" s="110"/>
    </row>
    <row r="12" spans="1:18" ht="60" customHeight="1">
      <c r="A12" s="112" t="s">
        <v>376</v>
      </c>
      <c r="B12" s="113" t="s">
        <v>377</v>
      </c>
      <c r="C12" s="113" t="s">
        <v>378</v>
      </c>
      <c r="D12" s="113" t="s">
        <v>379</v>
      </c>
      <c r="E12" s="113" t="s">
        <v>380</v>
      </c>
      <c r="F12" s="114" t="s">
        <v>85</v>
      </c>
      <c r="G12" s="115">
        <v>46212</v>
      </c>
      <c r="H12" s="116" t="s">
        <v>4</v>
      </c>
      <c r="I12" s="117" t="s">
        <v>88</v>
      </c>
      <c r="J12" s="116"/>
      <c r="K12" s="116"/>
      <c r="L12" s="117" t="s">
        <v>88</v>
      </c>
      <c r="M12" s="116"/>
      <c r="N12" s="116"/>
      <c r="O12" s="113" t="s">
        <v>121</v>
      </c>
    </row>
    <row r="13" spans="1:18" ht="75" customHeight="1">
      <c r="A13" s="112" t="s">
        <v>381</v>
      </c>
      <c r="B13" s="113" t="s">
        <v>382</v>
      </c>
      <c r="C13" s="113" t="s">
        <v>383</v>
      </c>
      <c r="D13" s="113" t="s">
        <v>384</v>
      </c>
      <c r="E13" s="113" t="s">
        <v>380</v>
      </c>
      <c r="F13" s="114" t="s">
        <v>85</v>
      </c>
      <c r="G13" s="115">
        <v>46212</v>
      </c>
      <c r="H13" s="116" t="s">
        <v>4</v>
      </c>
      <c r="I13" s="117" t="s">
        <v>88</v>
      </c>
      <c r="J13" s="116"/>
      <c r="K13" s="116"/>
      <c r="L13" s="117" t="s">
        <v>88</v>
      </c>
      <c r="M13" s="116"/>
      <c r="N13" s="116"/>
      <c r="O13" s="113" t="s">
        <v>121</v>
      </c>
    </row>
    <row r="14" spans="1:18" ht="60" customHeight="1">
      <c r="A14" s="112" t="s">
        <v>385</v>
      </c>
      <c r="B14" s="113" t="s">
        <v>386</v>
      </c>
      <c r="C14" s="113" t="s">
        <v>387</v>
      </c>
      <c r="D14" s="113" t="s">
        <v>388</v>
      </c>
      <c r="E14" s="113" t="s">
        <v>389</v>
      </c>
      <c r="F14" s="114" t="s">
        <v>85</v>
      </c>
      <c r="G14" s="115">
        <v>46212</v>
      </c>
      <c r="H14" s="116" t="s">
        <v>4</v>
      </c>
      <c r="I14" s="117" t="s">
        <v>88</v>
      </c>
      <c r="J14" s="116"/>
      <c r="K14" s="116"/>
      <c r="L14" s="117" t="s">
        <v>88</v>
      </c>
      <c r="M14" s="116"/>
      <c r="N14" s="116"/>
      <c r="O14" s="113" t="s">
        <v>121</v>
      </c>
    </row>
    <row r="15" spans="1:18" ht="75" customHeight="1">
      <c r="A15" s="112" t="s">
        <v>390</v>
      </c>
      <c r="B15" s="113" t="s">
        <v>391</v>
      </c>
      <c r="C15" s="113" t="s">
        <v>392</v>
      </c>
      <c r="D15" s="113" t="s">
        <v>393</v>
      </c>
      <c r="E15" s="113" t="s">
        <v>394</v>
      </c>
      <c r="F15" s="114" t="s">
        <v>85</v>
      </c>
      <c r="G15" s="115">
        <v>46212</v>
      </c>
      <c r="H15" s="116" t="s">
        <v>4</v>
      </c>
      <c r="I15" s="117" t="s">
        <v>88</v>
      </c>
      <c r="J15" s="116"/>
      <c r="K15" s="116"/>
      <c r="L15" s="117" t="s">
        <v>88</v>
      </c>
      <c r="M15" s="116"/>
      <c r="N15" s="116"/>
      <c r="O15" s="113" t="s">
        <v>121</v>
      </c>
    </row>
    <row r="16" spans="1:18" ht="60" customHeight="1">
      <c r="A16" s="112" t="s">
        <v>395</v>
      </c>
      <c r="B16" s="113" t="s">
        <v>396</v>
      </c>
      <c r="C16" s="113" t="s">
        <v>397</v>
      </c>
      <c r="D16" s="113" t="s">
        <v>398</v>
      </c>
      <c r="E16" s="113" t="s">
        <v>394</v>
      </c>
      <c r="F16" s="114" t="s">
        <v>85</v>
      </c>
      <c r="G16" s="115">
        <v>46212</v>
      </c>
      <c r="H16" s="116" t="s">
        <v>4</v>
      </c>
      <c r="I16" s="117" t="s">
        <v>88</v>
      </c>
      <c r="J16" s="116"/>
      <c r="K16" s="116"/>
      <c r="L16" s="117" t="s">
        <v>88</v>
      </c>
      <c r="M16" s="116"/>
      <c r="N16" s="116"/>
      <c r="O16" s="113" t="s">
        <v>121</v>
      </c>
    </row>
    <row r="17" spans="1:15" ht="60" customHeight="1">
      <c r="A17" s="112" t="s">
        <v>399</v>
      </c>
      <c r="B17" s="113" t="s">
        <v>400</v>
      </c>
      <c r="C17" s="113" t="s">
        <v>401</v>
      </c>
      <c r="D17" s="113" t="s">
        <v>402</v>
      </c>
      <c r="E17" s="113" t="s">
        <v>403</v>
      </c>
      <c r="F17" s="114" t="s">
        <v>85</v>
      </c>
      <c r="G17" s="115">
        <v>46212</v>
      </c>
      <c r="H17" s="116" t="s">
        <v>4</v>
      </c>
      <c r="I17" s="117" t="s">
        <v>88</v>
      </c>
      <c r="J17" s="116"/>
      <c r="K17" s="116"/>
      <c r="L17" s="117" t="s">
        <v>88</v>
      </c>
      <c r="M17" s="116"/>
      <c r="N17" s="116"/>
      <c r="O17" s="113" t="s">
        <v>121</v>
      </c>
    </row>
    <row r="18" spans="1:15" ht="60" customHeight="1">
      <c r="A18" s="112" t="s">
        <v>404</v>
      </c>
      <c r="B18" s="113" t="s">
        <v>405</v>
      </c>
      <c r="C18" s="113" t="s">
        <v>406</v>
      </c>
      <c r="D18" s="113" t="s">
        <v>407</v>
      </c>
      <c r="E18" s="113" t="s">
        <v>408</v>
      </c>
      <c r="F18" s="118" t="s">
        <v>86</v>
      </c>
      <c r="G18" s="115">
        <v>46212</v>
      </c>
      <c r="H18" s="116" t="s">
        <v>4</v>
      </c>
      <c r="I18" s="114" t="s">
        <v>85</v>
      </c>
      <c r="J18" s="115">
        <v>46213</v>
      </c>
      <c r="K18" s="116" t="s">
        <v>4</v>
      </c>
      <c r="L18" s="117" t="s">
        <v>88</v>
      </c>
      <c r="M18" s="116"/>
      <c r="N18" s="116"/>
      <c r="O18" s="113" t="s">
        <v>121</v>
      </c>
    </row>
    <row r="19" spans="1:15" ht="60" customHeight="1">
      <c r="A19" s="112" t="s">
        <v>409</v>
      </c>
      <c r="B19" s="113" t="s">
        <v>410</v>
      </c>
      <c r="C19" s="113" t="s">
        <v>411</v>
      </c>
      <c r="D19" s="113" t="s">
        <v>412</v>
      </c>
      <c r="E19" s="113" t="s">
        <v>413</v>
      </c>
      <c r="F19" s="114" t="s">
        <v>85</v>
      </c>
      <c r="G19" s="115">
        <v>46212</v>
      </c>
      <c r="H19" s="116" t="s">
        <v>4</v>
      </c>
      <c r="I19" s="117" t="s">
        <v>88</v>
      </c>
      <c r="J19" s="116"/>
      <c r="K19" s="116"/>
      <c r="L19" s="117" t="s">
        <v>88</v>
      </c>
      <c r="M19" s="116"/>
      <c r="N19" s="116"/>
      <c r="O19" s="113" t="s">
        <v>121</v>
      </c>
    </row>
    <row r="20" spans="1:15" ht="60" customHeight="1">
      <c r="A20" s="112" t="s">
        <v>414</v>
      </c>
      <c r="B20" s="113" t="s">
        <v>415</v>
      </c>
      <c r="C20" s="113" t="s">
        <v>416</v>
      </c>
      <c r="D20" s="113" t="s">
        <v>417</v>
      </c>
      <c r="E20" s="113" t="s">
        <v>413</v>
      </c>
      <c r="F20" s="114" t="s">
        <v>85</v>
      </c>
      <c r="G20" s="115">
        <v>46212</v>
      </c>
      <c r="H20" s="116" t="s">
        <v>4</v>
      </c>
      <c r="I20" s="117" t="s">
        <v>88</v>
      </c>
      <c r="J20" s="116"/>
      <c r="K20" s="116"/>
      <c r="L20" s="117" t="s">
        <v>88</v>
      </c>
      <c r="M20" s="116"/>
      <c r="N20" s="116"/>
      <c r="O20" s="113" t="s">
        <v>121</v>
      </c>
    </row>
    <row r="21" spans="1:15" ht="60" customHeight="1">
      <c r="A21" s="112" t="s">
        <v>418</v>
      </c>
      <c r="B21" s="113" t="s">
        <v>419</v>
      </c>
      <c r="C21" s="113" t="s">
        <v>420</v>
      </c>
      <c r="D21" s="113" t="s">
        <v>421</v>
      </c>
      <c r="E21" s="113" t="s">
        <v>422</v>
      </c>
      <c r="F21" s="114" t="s">
        <v>85</v>
      </c>
      <c r="G21" s="115">
        <v>46212</v>
      </c>
      <c r="H21" s="116" t="s">
        <v>4</v>
      </c>
      <c r="I21" s="117" t="s">
        <v>88</v>
      </c>
      <c r="J21" s="116"/>
      <c r="K21" s="116"/>
      <c r="L21" s="117" t="s">
        <v>88</v>
      </c>
      <c r="M21" s="116"/>
      <c r="N21" s="116"/>
      <c r="O21" s="113" t="s">
        <v>121</v>
      </c>
    </row>
    <row r="22" spans="1:15" ht="60" customHeight="1">
      <c r="A22" s="112" t="s">
        <v>423</v>
      </c>
      <c r="B22" s="113" t="s">
        <v>424</v>
      </c>
      <c r="C22" s="113" t="s">
        <v>425</v>
      </c>
      <c r="D22" s="113" t="s">
        <v>426</v>
      </c>
      <c r="E22" s="113" t="s">
        <v>427</v>
      </c>
      <c r="F22" s="114" t="s">
        <v>85</v>
      </c>
      <c r="G22" s="115">
        <v>46212</v>
      </c>
      <c r="H22" s="116" t="s">
        <v>4</v>
      </c>
      <c r="I22" s="117" t="s">
        <v>88</v>
      </c>
      <c r="J22" s="116"/>
      <c r="K22" s="116"/>
      <c r="L22" s="117" t="s">
        <v>88</v>
      </c>
      <c r="M22" s="116"/>
      <c r="N22" s="116"/>
      <c r="O22" s="113" t="s">
        <v>121</v>
      </c>
    </row>
    <row r="23" spans="1:15" ht="60" customHeight="1">
      <c r="A23" s="112" t="s">
        <v>428</v>
      </c>
      <c r="B23" s="113" t="s">
        <v>429</v>
      </c>
      <c r="C23" s="113" t="s">
        <v>430</v>
      </c>
      <c r="D23" s="113" t="s">
        <v>431</v>
      </c>
      <c r="E23" s="113" t="s">
        <v>432</v>
      </c>
      <c r="F23" s="114" t="s">
        <v>85</v>
      </c>
      <c r="G23" s="115">
        <v>46212</v>
      </c>
      <c r="H23" s="116" t="s">
        <v>4</v>
      </c>
      <c r="I23" s="117" t="s">
        <v>88</v>
      </c>
      <c r="J23" s="116"/>
      <c r="K23" s="116"/>
      <c r="L23" s="117" t="s">
        <v>88</v>
      </c>
      <c r="M23" s="116"/>
      <c r="N23" s="116"/>
      <c r="O23" s="113" t="s">
        <v>121</v>
      </c>
    </row>
    <row r="24" spans="1:15" ht="60" customHeight="1">
      <c r="A24" s="112" t="s">
        <v>433</v>
      </c>
      <c r="B24" s="113" t="s">
        <v>434</v>
      </c>
      <c r="C24" s="113" t="s">
        <v>435</v>
      </c>
      <c r="D24" s="113" t="s">
        <v>436</v>
      </c>
      <c r="E24" s="113" t="s">
        <v>437</v>
      </c>
      <c r="F24" s="114" t="s">
        <v>85</v>
      </c>
      <c r="G24" s="115">
        <v>46212</v>
      </c>
      <c r="H24" s="116" t="s">
        <v>4</v>
      </c>
      <c r="I24" s="117" t="s">
        <v>88</v>
      </c>
      <c r="J24" s="116"/>
      <c r="K24" s="116"/>
      <c r="L24" s="117" t="s">
        <v>88</v>
      </c>
      <c r="M24" s="116"/>
      <c r="N24" s="116"/>
      <c r="O24" s="113" t="s">
        <v>121</v>
      </c>
    </row>
    <row r="25" spans="1:15" ht="60" customHeight="1">
      <c r="A25" s="112" t="s">
        <v>438</v>
      </c>
      <c r="B25" s="113" t="s">
        <v>439</v>
      </c>
      <c r="C25" s="113" t="s">
        <v>440</v>
      </c>
      <c r="D25" s="113" t="s">
        <v>441</v>
      </c>
      <c r="E25" s="113" t="s">
        <v>442</v>
      </c>
      <c r="F25" s="114" t="s">
        <v>85</v>
      </c>
      <c r="G25" s="115">
        <v>46212</v>
      </c>
      <c r="H25" s="116" t="s">
        <v>4</v>
      </c>
      <c r="I25" s="117" t="s">
        <v>88</v>
      </c>
      <c r="J25" s="116"/>
      <c r="K25" s="116"/>
      <c r="L25" s="117" t="s">
        <v>88</v>
      </c>
      <c r="M25" s="116"/>
      <c r="N25" s="116"/>
      <c r="O25" s="113" t="s">
        <v>121</v>
      </c>
    </row>
    <row r="26" spans="1:15" ht="60" customHeight="1">
      <c r="A26" s="112" t="s">
        <v>443</v>
      </c>
      <c r="B26" s="113" t="s">
        <v>444</v>
      </c>
      <c r="C26" s="113" t="s">
        <v>445</v>
      </c>
      <c r="D26" s="113" t="s">
        <v>446</v>
      </c>
      <c r="E26" s="113" t="s">
        <v>447</v>
      </c>
      <c r="F26" s="114" t="s">
        <v>85</v>
      </c>
      <c r="G26" s="115">
        <v>46212</v>
      </c>
      <c r="H26" s="116" t="s">
        <v>4</v>
      </c>
      <c r="I26" s="117" t="s">
        <v>88</v>
      </c>
      <c r="J26" s="116"/>
      <c r="K26" s="116"/>
      <c r="L26" s="117" t="s">
        <v>88</v>
      </c>
      <c r="M26" s="116"/>
      <c r="N26" s="116"/>
      <c r="O26" s="113" t="s">
        <v>121</v>
      </c>
    </row>
    <row r="27" spans="1:15" ht="60" customHeight="1">
      <c r="A27" s="112" t="s">
        <v>448</v>
      </c>
      <c r="B27" s="113" t="s">
        <v>449</v>
      </c>
      <c r="C27" s="113" t="s">
        <v>450</v>
      </c>
      <c r="D27" s="113" t="s">
        <v>451</v>
      </c>
      <c r="E27" s="113" t="s">
        <v>447</v>
      </c>
      <c r="F27" s="114" t="s">
        <v>85</v>
      </c>
      <c r="G27" s="115">
        <v>46212</v>
      </c>
      <c r="H27" s="116" t="s">
        <v>4</v>
      </c>
      <c r="I27" s="117" t="s">
        <v>88</v>
      </c>
      <c r="J27" s="116"/>
      <c r="K27" s="116"/>
      <c r="L27" s="117" t="s">
        <v>88</v>
      </c>
      <c r="M27" s="116"/>
      <c r="N27" s="116"/>
      <c r="O27" s="113" t="s">
        <v>121</v>
      </c>
    </row>
  </sheetData>
  <mergeCells count="3">
    <mergeCell ref="B2:E2"/>
    <mergeCell ref="B3:E3"/>
    <mergeCell ref="B4:E4"/>
  </mergeCells>
  <pageMargins left="0.74791666666666667" right="0.25" top="0.75" bottom="0.98402777777777772" header="0.5" footer="0.5"/>
  <pageSetup paperSize="9" firstPageNumber="0" orientation="landscape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R24"/>
  <sheetViews>
    <sheetView topLeftCell="A19" workbookViewId="0">
      <selection activeCell="C13" sqref="C13"/>
    </sheetView>
  </sheetViews>
  <sheetFormatPr defaultColWidth="9" defaultRowHeight="12.75" customHeight="1"/>
  <cols>
    <col min="1" max="1" width="12" style="7" customWidth="1"/>
    <col min="2" max="2" width="38" style="7" customWidth="1"/>
    <col min="3" max="3" width="42" style="7" customWidth="1"/>
    <col min="4" max="4" width="38" style="7" customWidth="1"/>
    <col min="5" max="5" width="28" style="7" customWidth="1"/>
    <col min="6" max="6" width="12" style="7" customWidth="1"/>
    <col min="7" max="7" width="14" style="7" customWidth="1"/>
    <col min="8" max="8" width="16" style="7" customWidth="1"/>
    <col min="9" max="9" width="12" style="7" customWidth="1"/>
    <col min="10" max="10" width="14" style="7" customWidth="1"/>
    <col min="11" max="11" width="16" style="7" customWidth="1"/>
    <col min="12" max="12" width="12" style="7" customWidth="1"/>
    <col min="13" max="13" width="14" style="7" customWidth="1"/>
    <col min="14" max="14" width="16" style="7" customWidth="1"/>
    <col min="15" max="15" width="15" style="7" customWidth="1"/>
    <col min="16" max="16" width="10.140625" style="7" customWidth="1"/>
    <col min="17" max="17" width="8.140625" style="85" customWidth="1"/>
    <col min="18" max="18" width="7.5703125" style="7" customWidth="1"/>
    <col min="19" max="19" width="9" style="7" customWidth="1"/>
    <col min="20" max="16384" width="9" style="7"/>
  </cols>
  <sheetData>
    <row r="1" spans="1:18" ht="13.5" customHeight="1"/>
    <row r="2" spans="1:18" ht="15" customHeight="1">
      <c r="A2" s="87" t="s">
        <v>100</v>
      </c>
      <c r="B2" s="119" t="s">
        <v>76</v>
      </c>
      <c r="C2" s="119"/>
      <c r="D2" s="119"/>
      <c r="E2" s="119"/>
      <c r="F2" s="88"/>
      <c r="G2" s="89"/>
      <c r="H2" s="36"/>
      <c r="I2" s="88"/>
      <c r="J2" s="89"/>
      <c r="K2" s="36"/>
      <c r="L2" s="88"/>
      <c r="M2" s="89"/>
      <c r="N2" s="36"/>
      <c r="O2" s="36"/>
      <c r="P2" s="36"/>
      <c r="Q2" s="90"/>
      <c r="R2" s="86" t="s">
        <v>85</v>
      </c>
    </row>
    <row r="3" spans="1:18" ht="12.75" customHeight="1">
      <c r="A3" s="91" t="s">
        <v>101</v>
      </c>
      <c r="B3" s="119" t="s">
        <v>452</v>
      </c>
      <c r="C3" s="119"/>
      <c r="D3" s="119"/>
      <c r="E3" s="119"/>
      <c r="F3" s="88"/>
      <c r="G3" s="89"/>
      <c r="H3" s="36"/>
      <c r="I3" s="88"/>
      <c r="J3" s="89"/>
      <c r="K3" s="36"/>
      <c r="L3" s="88"/>
      <c r="M3" s="89"/>
      <c r="N3" s="36"/>
      <c r="O3" s="36"/>
      <c r="P3" s="36"/>
      <c r="Q3" s="90"/>
      <c r="R3" s="86" t="s">
        <v>86</v>
      </c>
    </row>
    <row r="4" spans="1:18" ht="18" customHeight="1">
      <c r="A4" s="91" t="s">
        <v>103</v>
      </c>
      <c r="B4" s="120">
        <f>COUNTA(A12:A991)</f>
        <v>12</v>
      </c>
      <c r="C4" s="120"/>
      <c r="D4" s="120"/>
      <c r="E4" s="120"/>
      <c r="F4" s="88"/>
      <c r="G4" s="89"/>
      <c r="H4" s="36"/>
      <c r="I4" s="88"/>
      <c r="J4" s="89"/>
      <c r="K4" s="36"/>
      <c r="L4" s="88"/>
      <c r="M4" s="89"/>
      <c r="N4" s="36"/>
      <c r="O4" s="36"/>
      <c r="P4" s="36"/>
      <c r="Q4" s="90"/>
      <c r="R4" s="86" t="s">
        <v>87</v>
      </c>
    </row>
    <row r="5" spans="1:18" ht="19.5" customHeight="1">
      <c r="A5" s="92" t="s">
        <v>104</v>
      </c>
      <c r="B5" s="93" t="s">
        <v>85</v>
      </c>
      <c r="C5" s="93" t="s">
        <v>86</v>
      </c>
      <c r="D5" s="93" t="s">
        <v>87</v>
      </c>
      <c r="E5" s="94" t="s">
        <v>88</v>
      </c>
      <c r="F5" s="95"/>
      <c r="G5" s="95"/>
      <c r="H5" s="96"/>
      <c r="I5" s="95"/>
      <c r="J5" s="95"/>
      <c r="K5" s="96"/>
      <c r="L5" s="95"/>
      <c r="M5" s="95"/>
      <c r="N5" s="96"/>
      <c r="O5" s="96"/>
      <c r="P5" s="96"/>
      <c r="Q5" s="97"/>
      <c r="R5" s="86" t="s">
        <v>88</v>
      </c>
    </row>
    <row r="6" spans="1:18" ht="15" customHeight="1">
      <c r="A6" s="92" t="s">
        <v>105</v>
      </c>
      <c r="B6" s="98">
        <f>COUNTIF($F$12:$F$990,B5)</f>
        <v>11</v>
      </c>
      <c r="C6" s="98">
        <f>COUNTIF($F$12:$F$990,C5)</f>
        <v>0</v>
      </c>
      <c r="D6" s="98">
        <f>COUNTIF($F$12:$F$990,D5)</f>
        <v>0</v>
      </c>
      <c r="E6" s="99">
        <f>COUNTIF($F$12:$F$990,E5)</f>
        <v>1</v>
      </c>
      <c r="F6" s="100"/>
      <c r="G6" s="100"/>
      <c r="H6" s="96"/>
      <c r="I6" s="100"/>
      <c r="J6" s="100"/>
      <c r="K6" s="96"/>
      <c r="L6" s="100"/>
      <c r="M6" s="100"/>
      <c r="N6" s="96"/>
      <c r="O6" s="96"/>
      <c r="P6" s="96"/>
      <c r="Q6" s="97"/>
    </row>
    <row r="7" spans="1:18" ht="15" customHeight="1">
      <c r="A7" s="92" t="s">
        <v>106</v>
      </c>
      <c r="B7" s="98">
        <f>COUNTIF($I$12:$I$990,B5)</f>
        <v>0</v>
      </c>
      <c r="C7" s="98">
        <f>COUNTIF($I$12:$I$990,C5)</f>
        <v>0</v>
      </c>
      <c r="D7" s="98">
        <f>COUNTIF($I$12:$I$990,D5)</f>
        <v>0</v>
      </c>
      <c r="E7" s="99">
        <f>COUNTIF($I$12:$I$990,E5)</f>
        <v>12</v>
      </c>
      <c r="F7" s="100"/>
      <c r="G7" s="100"/>
      <c r="H7" s="96"/>
      <c r="I7" s="100"/>
      <c r="J7" s="100"/>
      <c r="K7" s="96"/>
      <c r="L7" s="100"/>
      <c r="M7" s="100"/>
      <c r="N7" s="96"/>
      <c r="O7" s="96"/>
      <c r="P7" s="96"/>
      <c r="Q7" s="97"/>
    </row>
    <row r="8" spans="1:18" ht="15" customHeight="1">
      <c r="A8" s="101" t="s">
        <v>107</v>
      </c>
      <c r="B8" s="102">
        <f>COUNTIF($L$12:$L$990,B5)</f>
        <v>0</v>
      </c>
      <c r="C8" s="102">
        <f>COUNTIF($L$12:$L$990,C5)</f>
        <v>0</v>
      </c>
      <c r="D8" s="102">
        <f>COUNTIF($L$12:$L$990,D5)</f>
        <v>0</v>
      </c>
      <c r="E8" s="103">
        <f>COUNTIF($L$12:$L$990,E5)</f>
        <v>12</v>
      </c>
      <c r="F8" s="100"/>
      <c r="G8" s="100"/>
      <c r="H8" s="96"/>
      <c r="I8" s="100"/>
      <c r="J8" s="100"/>
      <c r="K8" s="96"/>
      <c r="L8" s="100"/>
      <c r="M8" s="100"/>
      <c r="N8" s="96"/>
      <c r="O8" s="96"/>
      <c r="P8" s="96"/>
      <c r="Q8" s="97"/>
    </row>
    <row r="9" spans="1:18" ht="15" customHeight="1">
      <c r="A9" s="96"/>
      <c r="B9" s="96"/>
      <c r="C9" s="96"/>
      <c r="D9" s="96"/>
      <c r="E9" s="96"/>
      <c r="F9" s="84"/>
      <c r="G9" s="96"/>
      <c r="H9" s="96"/>
      <c r="I9" s="84"/>
      <c r="J9" s="96"/>
      <c r="K9" s="96"/>
      <c r="L9" s="84"/>
      <c r="M9" s="96"/>
      <c r="N9" s="96"/>
      <c r="O9" s="96"/>
      <c r="P9" s="96"/>
      <c r="Q9" s="97"/>
    </row>
    <row r="10" spans="1:18" ht="25.5" customHeight="1">
      <c r="A10" s="104" t="s">
        <v>108</v>
      </c>
      <c r="B10" s="104" t="s">
        <v>109</v>
      </c>
      <c r="C10" s="104" t="s">
        <v>110</v>
      </c>
      <c r="D10" s="104" t="s">
        <v>111</v>
      </c>
      <c r="E10" s="104" t="s">
        <v>112</v>
      </c>
      <c r="F10" s="104" t="s">
        <v>105</v>
      </c>
      <c r="G10" s="104" t="s">
        <v>113</v>
      </c>
      <c r="H10" s="104" t="s">
        <v>114</v>
      </c>
      <c r="I10" s="104" t="s">
        <v>106</v>
      </c>
      <c r="J10" s="104" t="s">
        <v>113</v>
      </c>
      <c r="K10" s="104" t="s">
        <v>114</v>
      </c>
      <c r="L10" s="104" t="s">
        <v>107</v>
      </c>
      <c r="M10" s="104" t="s">
        <v>113</v>
      </c>
      <c r="N10" s="104" t="s">
        <v>114</v>
      </c>
      <c r="O10" s="104" t="s">
        <v>115</v>
      </c>
      <c r="P10" s="86"/>
      <c r="Q10" s="105"/>
    </row>
    <row r="11" spans="1:18" ht="15.75" customHeight="1">
      <c r="A11" s="106" t="s">
        <v>56</v>
      </c>
      <c r="B11" s="106"/>
      <c r="C11" s="107"/>
      <c r="D11" s="107"/>
      <c r="E11" s="107"/>
      <c r="F11" s="108"/>
      <c r="G11" s="108"/>
      <c r="H11" s="108"/>
      <c r="I11" s="108"/>
      <c r="J11" s="108"/>
      <c r="K11" s="108"/>
      <c r="L11" s="108"/>
      <c r="M11" s="108"/>
      <c r="N11" s="108"/>
      <c r="O11" s="109"/>
      <c r="P11" s="86"/>
      <c r="Q11" s="110"/>
    </row>
    <row r="12" spans="1:18" ht="60" customHeight="1">
      <c r="A12" s="112" t="s">
        <v>453</v>
      </c>
      <c r="B12" s="113" t="s">
        <v>454</v>
      </c>
      <c r="C12" s="113" t="s">
        <v>455</v>
      </c>
      <c r="D12" s="113" t="s">
        <v>456</v>
      </c>
      <c r="E12" s="113" t="s">
        <v>457</v>
      </c>
      <c r="F12" s="114" t="s">
        <v>85</v>
      </c>
      <c r="G12" s="115">
        <v>46212</v>
      </c>
      <c r="H12" s="116" t="s">
        <v>4</v>
      </c>
      <c r="I12" s="117" t="s">
        <v>88</v>
      </c>
      <c r="J12" s="116"/>
      <c r="K12" s="116"/>
      <c r="L12" s="117" t="s">
        <v>88</v>
      </c>
      <c r="M12" s="116"/>
      <c r="N12" s="116"/>
      <c r="O12" s="113" t="s">
        <v>121</v>
      </c>
    </row>
    <row r="13" spans="1:18" ht="60" customHeight="1">
      <c r="A13" s="112" t="s">
        <v>458</v>
      </c>
      <c r="B13" s="113" t="s">
        <v>459</v>
      </c>
      <c r="C13" s="113" t="s">
        <v>460</v>
      </c>
      <c r="D13" s="113" t="s">
        <v>461</v>
      </c>
      <c r="E13" s="113" t="s">
        <v>462</v>
      </c>
      <c r="F13" s="114" t="s">
        <v>85</v>
      </c>
      <c r="G13" s="115">
        <v>46212</v>
      </c>
      <c r="H13" s="116" t="s">
        <v>4</v>
      </c>
      <c r="I13" s="117" t="s">
        <v>88</v>
      </c>
      <c r="J13" s="116"/>
      <c r="K13" s="116"/>
      <c r="L13" s="117" t="s">
        <v>88</v>
      </c>
      <c r="M13" s="116"/>
      <c r="N13" s="116"/>
      <c r="O13" s="113" t="s">
        <v>121</v>
      </c>
    </row>
    <row r="14" spans="1:18" ht="45" customHeight="1">
      <c r="A14" s="112" t="s">
        <v>463</v>
      </c>
      <c r="B14" s="113" t="s">
        <v>464</v>
      </c>
      <c r="C14" s="113" t="s">
        <v>465</v>
      </c>
      <c r="D14" s="113" t="s">
        <v>466</v>
      </c>
      <c r="E14" s="113" t="s">
        <v>462</v>
      </c>
      <c r="F14" s="114" t="s">
        <v>85</v>
      </c>
      <c r="G14" s="115">
        <v>46212</v>
      </c>
      <c r="H14" s="116" t="s">
        <v>4</v>
      </c>
      <c r="I14" s="117" t="s">
        <v>88</v>
      </c>
      <c r="J14" s="116"/>
      <c r="K14" s="116"/>
      <c r="L14" s="117" t="s">
        <v>88</v>
      </c>
      <c r="M14" s="116"/>
      <c r="N14" s="116"/>
      <c r="O14" s="113" t="s">
        <v>121</v>
      </c>
    </row>
    <row r="15" spans="1:18" ht="60" customHeight="1">
      <c r="A15" s="112" t="s">
        <v>467</v>
      </c>
      <c r="B15" s="113" t="s">
        <v>468</v>
      </c>
      <c r="C15" s="113" t="s">
        <v>469</v>
      </c>
      <c r="D15" s="113" t="s">
        <v>470</v>
      </c>
      <c r="E15" s="113" t="s">
        <v>462</v>
      </c>
      <c r="F15" s="114" t="s">
        <v>85</v>
      </c>
      <c r="G15" s="115">
        <v>46212</v>
      </c>
      <c r="H15" s="116" t="s">
        <v>4</v>
      </c>
      <c r="I15" s="117" t="s">
        <v>88</v>
      </c>
      <c r="J15" s="116"/>
      <c r="K15" s="116"/>
      <c r="L15" s="117" t="s">
        <v>88</v>
      </c>
      <c r="M15" s="116"/>
      <c r="N15" s="116"/>
      <c r="O15" s="113" t="s">
        <v>121</v>
      </c>
    </row>
    <row r="16" spans="1:18" ht="75" customHeight="1">
      <c r="A16" s="112" t="s">
        <v>471</v>
      </c>
      <c r="B16" s="113" t="s">
        <v>472</v>
      </c>
      <c r="C16" s="113" t="s">
        <v>473</v>
      </c>
      <c r="D16" s="113" t="s">
        <v>474</v>
      </c>
      <c r="E16" s="113" t="s">
        <v>462</v>
      </c>
      <c r="F16" s="114" t="s">
        <v>85</v>
      </c>
      <c r="G16" s="115">
        <v>46212</v>
      </c>
      <c r="H16" s="116" t="s">
        <v>4</v>
      </c>
      <c r="I16" s="117" t="s">
        <v>88</v>
      </c>
      <c r="J16" s="116"/>
      <c r="K16" s="116"/>
      <c r="L16" s="117" t="s">
        <v>88</v>
      </c>
      <c r="M16" s="116"/>
      <c r="N16" s="116"/>
      <c r="O16" s="113" t="s">
        <v>121</v>
      </c>
    </row>
    <row r="17" spans="1:15" ht="60" customHeight="1">
      <c r="A17" s="112" t="s">
        <v>475</v>
      </c>
      <c r="B17" s="113" t="s">
        <v>476</v>
      </c>
      <c r="C17" s="113" t="s">
        <v>477</v>
      </c>
      <c r="D17" s="113" t="s">
        <v>478</v>
      </c>
      <c r="E17" s="113" t="s">
        <v>462</v>
      </c>
      <c r="F17" s="114" t="s">
        <v>85</v>
      </c>
      <c r="G17" s="115">
        <v>46212</v>
      </c>
      <c r="H17" s="116" t="s">
        <v>4</v>
      </c>
      <c r="I17" s="117" t="s">
        <v>88</v>
      </c>
      <c r="J17" s="116"/>
      <c r="K17" s="116"/>
      <c r="L17" s="117" t="s">
        <v>88</v>
      </c>
      <c r="M17" s="116"/>
      <c r="N17" s="116"/>
      <c r="O17" s="113" t="s">
        <v>121</v>
      </c>
    </row>
    <row r="18" spans="1:15" ht="60" customHeight="1">
      <c r="A18" s="112" t="s">
        <v>479</v>
      </c>
      <c r="B18" s="113" t="s">
        <v>480</v>
      </c>
      <c r="C18" s="113" t="s">
        <v>481</v>
      </c>
      <c r="D18" s="113" t="s">
        <v>482</v>
      </c>
      <c r="E18" s="113" t="s">
        <v>462</v>
      </c>
      <c r="F18" s="114" t="s">
        <v>85</v>
      </c>
      <c r="G18" s="115">
        <v>46212</v>
      </c>
      <c r="H18" s="116" t="s">
        <v>4</v>
      </c>
      <c r="I18" s="117" t="s">
        <v>88</v>
      </c>
      <c r="J18" s="116"/>
      <c r="K18" s="116"/>
      <c r="L18" s="117" t="s">
        <v>88</v>
      </c>
      <c r="M18" s="116"/>
      <c r="N18" s="116"/>
      <c r="O18" s="113" t="s">
        <v>121</v>
      </c>
    </row>
    <row r="19" spans="1:15" ht="60" customHeight="1">
      <c r="A19" s="112" t="s">
        <v>483</v>
      </c>
      <c r="B19" s="113" t="s">
        <v>484</v>
      </c>
      <c r="C19" s="113" t="s">
        <v>485</v>
      </c>
      <c r="D19" s="113" t="s">
        <v>486</v>
      </c>
      <c r="E19" s="113" t="s">
        <v>462</v>
      </c>
      <c r="F19" s="114" t="s">
        <v>85</v>
      </c>
      <c r="G19" s="115">
        <v>46212</v>
      </c>
      <c r="H19" s="116" t="s">
        <v>4</v>
      </c>
      <c r="I19" s="117" t="s">
        <v>88</v>
      </c>
      <c r="J19" s="116"/>
      <c r="K19" s="116"/>
      <c r="L19" s="117" t="s">
        <v>88</v>
      </c>
      <c r="M19" s="116"/>
      <c r="N19" s="116"/>
      <c r="O19" s="113" t="s">
        <v>121</v>
      </c>
    </row>
    <row r="20" spans="1:15" ht="90" customHeight="1">
      <c r="A20" s="112" t="s">
        <v>487</v>
      </c>
      <c r="B20" s="113" t="s">
        <v>488</v>
      </c>
      <c r="C20" s="113" t="s">
        <v>489</v>
      </c>
      <c r="D20" s="113" t="s">
        <v>490</v>
      </c>
      <c r="E20" s="113" t="s">
        <v>462</v>
      </c>
      <c r="F20" s="114" t="s">
        <v>85</v>
      </c>
      <c r="G20" s="115">
        <v>46212</v>
      </c>
      <c r="H20" s="116" t="s">
        <v>4</v>
      </c>
      <c r="I20" s="117" t="s">
        <v>88</v>
      </c>
      <c r="J20" s="116"/>
      <c r="K20" s="116"/>
      <c r="L20" s="117" t="s">
        <v>88</v>
      </c>
      <c r="M20" s="116"/>
      <c r="N20" s="116"/>
      <c r="O20" s="113" t="s">
        <v>121</v>
      </c>
    </row>
    <row r="21" spans="1:15" ht="60" customHeight="1">
      <c r="A21" s="112" t="s">
        <v>491</v>
      </c>
      <c r="B21" s="113" t="s">
        <v>492</v>
      </c>
      <c r="C21" s="113" t="s">
        <v>493</v>
      </c>
      <c r="D21" s="113" t="s">
        <v>494</v>
      </c>
      <c r="E21" s="113" t="s">
        <v>462</v>
      </c>
      <c r="F21" s="114" t="s">
        <v>85</v>
      </c>
      <c r="G21" s="115">
        <v>46212</v>
      </c>
      <c r="H21" s="116" t="s">
        <v>4</v>
      </c>
      <c r="I21" s="117" t="s">
        <v>88</v>
      </c>
      <c r="J21" s="116"/>
      <c r="K21" s="116"/>
      <c r="L21" s="117" t="s">
        <v>88</v>
      </c>
      <c r="M21" s="116"/>
      <c r="N21" s="116"/>
      <c r="O21" s="113" t="s">
        <v>121</v>
      </c>
    </row>
    <row r="22" spans="1:15" ht="60" customHeight="1">
      <c r="A22" s="112" t="s">
        <v>495</v>
      </c>
      <c r="B22" s="113" t="s">
        <v>496</v>
      </c>
      <c r="C22" s="113" t="s">
        <v>497</v>
      </c>
      <c r="D22" s="113" t="s">
        <v>498</v>
      </c>
      <c r="E22" s="113" t="s">
        <v>462</v>
      </c>
      <c r="F22" s="114" t="s">
        <v>85</v>
      </c>
      <c r="G22" s="115">
        <v>46212</v>
      </c>
      <c r="H22" s="116" t="s">
        <v>4</v>
      </c>
      <c r="I22" s="117" t="s">
        <v>88</v>
      </c>
      <c r="J22" s="116"/>
      <c r="K22" s="116"/>
      <c r="L22" s="117" t="s">
        <v>88</v>
      </c>
      <c r="M22" s="116"/>
      <c r="N22" s="116"/>
      <c r="O22" s="113" t="s">
        <v>121</v>
      </c>
    </row>
    <row r="23" spans="1:15" ht="75" customHeight="1">
      <c r="A23" s="112" t="s">
        <v>499</v>
      </c>
      <c r="B23" s="113" t="s">
        <v>500</v>
      </c>
      <c r="C23" s="113" t="s">
        <v>501</v>
      </c>
      <c r="D23" s="113" t="s">
        <v>502</v>
      </c>
      <c r="E23" s="113" t="s">
        <v>462</v>
      </c>
      <c r="F23" s="117" t="s">
        <v>88</v>
      </c>
      <c r="G23" s="115"/>
      <c r="H23" s="116" t="s">
        <v>121</v>
      </c>
      <c r="I23" s="117" t="s">
        <v>88</v>
      </c>
      <c r="J23" s="116"/>
      <c r="K23" s="116"/>
      <c r="L23" s="117" t="s">
        <v>88</v>
      </c>
      <c r="M23" s="116"/>
      <c r="N23" s="116"/>
      <c r="O23" s="113" t="s">
        <v>121</v>
      </c>
    </row>
    <row r="24" spans="1:15" ht="60" customHeight="1"/>
  </sheetData>
  <mergeCells count="3">
    <mergeCell ref="B2:E2"/>
    <mergeCell ref="B3:E3"/>
    <mergeCell ref="B4:E4"/>
  </mergeCells>
  <pageMargins left="0.74791666666666667" right="0.25" top="0.75" bottom="0.98402777777777772" header="0.5" footer="0.5"/>
  <pageSetup paperSize="9" firstPageNumber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Cover</vt:lpstr>
      <vt:lpstr>Test Cases</vt:lpstr>
      <vt:lpstr>Test Statistics</vt:lpstr>
      <vt:lpstr>Account</vt:lpstr>
      <vt:lpstr>Jobs</vt:lpstr>
      <vt:lpstr>CVReview</vt:lpstr>
      <vt:lpstr>AIInterview</vt:lpstr>
      <vt:lpstr>HRDashboard</vt:lpstr>
      <vt:lpstr>Admin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Test case</dc:title>
  <dc:subject>v1/0</dc:subject>
  <dc:creator/>
  <dc:description>Updates sheet Cover: Add logo, document code, creator, reviewer/approver._x000d_
Add sheet Test Case List._x000d_
Change Sheet Company, User, Provider to Modules. Add column Inter-test case dependent. Update these sheets._x000d_
Update Test Report</dc:description>
  <cp:lastModifiedBy/>
  <cp:lastPrinted>2010-11-12T10:33:20Z</cp:lastPrinted>
  <dcterms:created xsi:type="dcterms:W3CDTF">2020-03-17T17:34:29Z</dcterms:created>
  <dcterms:modified xsi:type="dcterms:W3CDTF">2026-07-11T06:11:59Z</dcterms:modified>
  <cp:category>BM</cp:category>
</cp:coreProperties>
</file>